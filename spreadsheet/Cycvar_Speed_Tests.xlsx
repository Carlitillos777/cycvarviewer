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definedNames>
    <definedName function="false" hidden="false" localSheetId="0" name="_xlnm.Print_Area" vbProcedure="false">Dashboard!$A$1:$O$125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<sst xmlns="http://schemas.openxmlformats.org/spreadsheetml/2006/main" count="111" uniqueCount="23">
  <si>
    <t xml:space="preserve">Items per test</t>
  </si>
  <si>
    <t xml:space="preserve">Speed (items/h)</t>
  </si>
  <si>
    <t xml:space="preserve">#</t>
  </si>
  <si>
    <t xml:space="preserve">Test Name</t>
  </si>
  <si>
    <t xml:space="preserve">Items Count</t>
  </si>
  <si>
    <t xml:space="preserve">Slices</t>
  </si>
  <si>
    <t xml:space="preserve">Wavetech Project 1</t>
  </si>
  <si>
    <t xml:space="preserve">Wavetech Project 5</t>
  </si>
  <si>
    <t xml:space="preserve">Quarry</t>
  </si>
  <si>
    <t xml:space="preserve">SciCraftMooshroom</t>
  </si>
  <si>
    <t xml:space="preserve">Hermit 1 Set</t>
  </si>
  <si>
    <t xml:space="preserve">Hermit 2 Set</t>
  </si>
  <si>
    <t xml:space="preserve">EasyTest</t>
  </si>
  <si>
    <t xml:space="preserve">Raw data</t>
  </si>
  <si>
    <t xml:space="preserve">% Gain vs 2 slices</t>
  </si>
  <si>
    <t xml:space="preserve">Slice Count</t>
  </si>
  <si>
    <t xml:space="preserve">Hopper Multiplier (x)</t>
  </si>
  <si>
    <t xml:space="preserve">Time (min)</t>
  </si>
  <si>
    <t xml:space="preserve">% Gain vs previous slice count</t>
  </si>
  <si>
    <t xml:space="preserve">–</t>
  </si>
  <si>
    <t xml:space="preserve">Scaling efficiency vs perfect scaling</t>
  </si>
  <si>
    <t xml:space="preserve">100% = speed grows in proportion to slices (e.g. 4 slices = 2× the 2-slice speed).</t>
  </si>
  <si>
    <t xml:space="preserve">Hopper Multiplier = Speed ÷ 9,000 items/h (one hopper).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</si>
</sst>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#,##0"/>
    <numFmt numFmtId="168" formatCode="0.00"/>
    <numFmt numFmtId="169" formatCode="0.0%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6939"/>
      <name val="Montserrat"/>
      <family val="0"/>
      <charset val="1"/>
    </font>
    <font>
      <b val="true"/>
      <sz val="14"/>
      <color rgb="FF3B5F90"/>
      <name val="Montserrat"/>
      <family val="0"/>
      <charset val="1"/>
    </font>
    <font>
      <b val="true"/>
      <sz val="11"/>
      <color rgb="FFFFFFFF"/>
      <name val="Montserrat"/>
      <family val="0"/>
      <charset val="1"/>
    </font>
    <font>
      <sz val="10"/>
      <color rgb="FF181C1F"/>
      <name val="Roboto"/>
      <family val="0"/>
      <charset val="1"/>
    </font>
    <font>
      <b val="true"/>
      <sz val="10"/>
      <color rgb="FF181C1F"/>
      <name val="Roboto"/>
      <family val="0"/>
      <charset val="1"/>
    </font>
    <font>
      <i val="true"/>
      <sz val="10"/>
      <color rgb="FF181C1F"/>
      <name val="Roboto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A6939"/>
        <bgColor rgb="FF3B5F90"/>
      </patternFill>
    </fill>
    <fill>
      <patternFill patternType="solid">
        <fgColor rgb="FF3B5F90"/>
        <bgColor rgb="FF426FA6"/>
      </patternFill>
    </fill>
    <fill>
      <patternFill patternType="solid">
        <fgColor rgb="FFE4EAF2"/>
        <bgColor rgb="FFEEF3EC"/>
      </patternFill>
    </fill>
    <fill>
      <patternFill patternType="solid">
        <fgColor rgb="FFEEF3EC"/>
        <bgColor rgb="FFF4F6F9"/>
      </patternFill>
    </fill>
    <fill>
      <patternFill patternType="solid">
        <fgColor rgb="FFF4F6F9"/>
        <bgColor rgb="FFEE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6939"/>
          <bgColor rgb="FF000000"/>
        </patternFill>
      </fill>
    </dxf>
    <dxf>
      <fill>
        <patternFill patternType="solid">
          <fgColor rgb="FFEEF3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81C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A6939"/>
      <rgbColor rgb="FF000080"/>
      <rgbColor rgb="FF87A44B"/>
      <rgbColor rgb="FF800080"/>
      <rgbColor rgb="FF008080"/>
      <rgbColor rgb="FFD9D9D9"/>
      <rgbColor rgb="FF878787"/>
      <rgbColor rgb="FF93A9CE"/>
      <rgbColor rgb="FFAA433F"/>
      <rgbColor rgb="FFEEF3EC"/>
      <rgbColor rgb="FFE4EAF2"/>
      <rgbColor rgb="FF660066"/>
      <rgbColor rgb="FFDC853E"/>
      <rgbColor rgb="FF4672A8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6F568D"/>
      <rgbColor rgb="FFAB4744"/>
      <rgbColor rgb="FF3B5F90"/>
      <rgbColor rgb="FF181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— all tests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Dashboard!I3</c:f>
              <c:strCache>
                <c:ptCount val="1"/>
                <c:pt idx="0">
                  <c:v>Wavetech Project 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Dashboard!$I$4:$I$10</c:f>
              <c:numCache>
                <c:formatCode>#,##0</c:formatCode>
                <c:ptCount val="7"/>
                <c:pt idx="0">
                  <c:v>33129</c:v>
                </c:pt>
                <c:pt idx="1">
                  <c:v>40543</c:v>
                </c:pt>
                <c:pt idx="2">
                  <c:v>46750</c:v>
                </c:pt>
                <c:pt idx="3">
                  <c:v>50830</c:v>
                </c:pt>
                <c:pt idx="4">
                  <c:v>56144</c:v>
                </c:pt>
                <c:pt idx="5">
                  <c:v>59642</c:v>
                </c:pt>
                <c:pt idx="6">
                  <c:v>64011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Dashboard!J3</c:f>
              <c:strCache>
                <c:ptCount val="1"/>
                <c:pt idx="0">
                  <c:v>Wavetech Project 5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Dashboard!$J$4:$J$10</c:f>
              <c:numCache>
                <c:formatCode>#,##0</c:formatCode>
                <c:ptCount val="7"/>
                <c:pt idx="0">
                  <c:v>33054</c:v>
                </c:pt>
                <c:pt idx="1">
                  <c:v>41548</c:v>
                </c:pt>
                <c:pt idx="2">
                  <c:v>48139</c:v>
                </c:pt>
                <c:pt idx="3">
                  <c:v>53794</c:v>
                </c:pt>
                <c:pt idx="4">
                  <c:v>58447</c:v>
                </c:pt>
                <c:pt idx="5">
                  <c:v>63084</c:v>
                </c:pt>
                <c:pt idx="6">
                  <c:v>63671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Dashboard!K3</c:f>
              <c:strCache>
                <c:ptCount val="1"/>
                <c:pt idx="0">
                  <c:v>Quarry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Dashboard!$K$4:$K$10</c:f>
              <c:numCache>
                <c:formatCode>#,##0</c:formatCode>
                <c:ptCount val="7"/>
                <c:pt idx="0">
                  <c:v>50030</c:v>
                </c:pt>
                <c:pt idx="1">
                  <c:v>64333</c:v>
                </c:pt>
                <c:pt idx="2">
                  <c:v>80165</c:v>
                </c:pt>
                <c:pt idx="3">
                  <c:v>98138</c:v>
                </c:pt>
                <c:pt idx="4">
                  <c:v>110954</c:v>
                </c:pt>
                <c:pt idx="5">
                  <c:v>103687</c:v>
                </c:pt>
                <c:pt idx="6">
                  <c:v>113366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Dashboard!L3</c:f>
              <c:strCache>
                <c:ptCount val="1"/>
                <c:pt idx="0">
                  <c:v>SciCraftMooshroom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Dashboard!$L$4:$L$10</c:f>
              <c:numCache>
                <c:formatCode>#,##0</c:formatCode>
                <c:ptCount val="7"/>
                <c:pt idx="0">
                  <c:v>35392</c:v>
                </c:pt>
                <c:pt idx="1">
                  <c:v>43121</c:v>
                </c:pt>
                <c:pt idx="2">
                  <c:v>50742</c:v>
                </c:pt>
                <c:pt idx="3">
                  <c:v>59210</c:v>
                </c:pt>
                <c:pt idx="4">
                  <c:v>60604</c:v>
                </c:pt>
                <c:pt idx="5">
                  <c:v>64736</c:v>
                </c:pt>
                <c:pt idx="6">
                  <c:v>67641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Dashboard!M3</c:f>
              <c:strCache>
                <c:ptCount val="1"/>
                <c:pt idx="0">
                  <c:v>Hermit 1 Set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Dashboard!$M$4:$M$10</c:f>
              <c:numCache>
                <c:formatCode>#,##0</c:formatCode>
                <c:ptCount val="7"/>
                <c:pt idx="0">
                  <c:v>16845</c:v>
                </c:pt>
                <c:pt idx="1">
                  <c:v>20922</c:v>
                </c:pt>
                <c:pt idx="2">
                  <c:v>24222</c:v>
                </c:pt>
                <c:pt idx="3">
                  <c:v>27052</c:v>
                </c:pt>
                <c:pt idx="4">
                  <c:v>28194</c:v>
                </c:pt>
                <c:pt idx="5">
                  <c:v>29754</c:v>
                </c:pt>
                <c:pt idx="6">
                  <c:v>31165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Dashboard!N3</c:f>
              <c:strCache>
                <c:ptCount val="1"/>
                <c:pt idx="0">
                  <c:v>Hermit 2 Set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Dashboard!$N$4:$N$10</c:f>
              <c:numCache>
                <c:formatCode>#,##0</c:formatCode>
                <c:ptCount val="7"/>
                <c:pt idx="0">
                  <c:v>11962</c:v>
                </c:pt>
                <c:pt idx="1">
                  <c:v>14832</c:v>
                </c:pt>
                <c:pt idx="2">
                  <c:v>17121</c:v>
                </c:pt>
                <c:pt idx="3">
                  <c:v>18932</c:v>
                </c:pt>
                <c:pt idx="4">
                  <c:v>20138</c:v>
                </c:pt>
                <c:pt idx="5">
                  <c:v>21731</c:v>
                </c:pt>
                <c:pt idx="6">
                  <c:v>23025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Dashboard!O3</c:f>
              <c:strCache>
                <c:ptCount val="1"/>
                <c:pt idx="0">
                  <c:v>EasyTest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Dashboard!$H$4:$H$10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Dashboard!$O$4:$O$10</c:f>
              <c:numCache>
                <c:formatCode>#,##0</c:formatCode>
                <c:ptCount val="7"/>
                <c:pt idx="0">
                  <c:v>42581</c:v>
                </c:pt>
                <c:pt idx="1">
                  <c:v>58566</c:v>
                </c:pt>
                <c:pt idx="2">
                  <c:v>59746</c:v>
                </c:pt>
                <c:pt idx="3">
                  <c:v>61295</c:v>
                </c:pt>
                <c:pt idx="4">
                  <c:v>69263</c:v>
                </c:pt>
                <c:pt idx="5">
                  <c:v>65006</c:v>
                </c:pt>
                <c:pt idx="6">
                  <c:v>66463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609567"/>
        <c:axId val="95598395"/>
      </c:lineChart>
      <c:catAx>
        <c:axId val="466095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98395"/>
        <c:crosses val="autoZero"/>
        <c:auto val="1"/>
        <c:lblAlgn val="ctr"/>
        <c:lblOffset val="100"/>
        <c:noMultiLvlLbl val="0"/>
      </c:catAx>
      <c:valAx>
        <c:axId val="95598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095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gain vs 2 slices — all tests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Dashboard!I14</c:f>
              <c:strCache>
                <c:ptCount val="1"/>
                <c:pt idx="0">
                  <c:v>Wavetech Project 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Dashboard!$I$15:$I$21</c:f>
              <c:numCache>
                <c:formatCode>0.0%</c:formatCode>
                <c:ptCount val="7"/>
                <c:pt idx="0">
                  <c:v>0</c:v>
                </c:pt>
                <c:pt idx="1">
                  <c:v>0.223791844003743</c:v>
                </c:pt>
                <c:pt idx="2">
                  <c:v>0.411150351655649</c:v>
                </c:pt>
                <c:pt idx="3">
                  <c:v>0.534305291436506</c:v>
                </c:pt>
                <c:pt idx="4">
                  <c:v>0.69470856349422</c:v>
                </c:pt>
                <c:pt idx="5">
                  <c:v>0.800295813335748</c:v>
                </c:pt>
                <c:pt idx="6">
                  <c:v>0.932174228017749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Dashboard!J14</c:f>
              <c:strCache>
                <c:ptCount val="1"/>
                <c:pt idx="0">
                  <c:v>Wavetech Project 5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Dashboard!$J$15:$J$21</c:f>
              <c:numCache>
                <c:formatCode>0.0%</c:formatCode>
                <c:ptCount val="7"/>
                <c:pt idx="0">
                  <c:v>0</c:v>
                </c:pt>
                <c:pt idx="1">
                  <c:v>0.256973437405458</c:v>
                </c:pt>
                <c:pt idx="2">
                  <c:v>0.456374417619653</c:v>
                </c:pt>
                <c:pt idx="3">
                  <c:v>0.627458098868518</c:v>
                </c:pt>
                <c:pt idx="4">
                  <c:v>0.768227748532704</c:v>
                </c:pt>
                <c:pt idx="5">
                  <c:v>0.90851334180432</c:v>
                </c:pt>
                <c:pt idx="6">
                  <c:v>0.926272160706722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Dashboard!K14</c:f>
              <c:strCache>
                <c:ptCount val="1"/>
                <c:pt idx="0">
                  <c:v>Quarry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Dashboard!$K$15:$K$21</c:f>
              <c:numCache>
                <c:formatCode>0.0%</c:formatCode>
                <c:ptCount val="7"/>
                <c:pt idx="0">
                  <c:v>0</c:v>
                </c:pt>
                <c:pt idx="1">
                  <c:v>0.285888466919848</c:v>
                </c:pt>
                <c:pt idx="2">
                  <c:v>0.602338596841895</c:v>
                </c:pt>
                <c:pt idx="3">
                  <c:v>0.961583050169898</c:v>
                </c:pt>
                <c:pt idx="4">
                  <c:v>1.21774935038977</c:v>
                </c:pt>
                <c:pt idx="5">
                  <c:v>1.07249650209874</c:v>
                </c:pt>
                <c:pt idx="6">
                  <c:v>1.26596042374575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Dashboard!L14</c:f>
              <c:strCache>
                <c:ptCount val="1"/>
                <c:pt idx="0">
                  <c:v>SciCraftMooshroom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Dashboard!$L$15:$L$21</c:f>
              <c:numCache>
                <c:formatCode>0.0%</c:formatCode>
                <c:ptCount val="7"/>
                <c:pt idx="0">
                  <c:v>0</c:v>
                </c:pt>
                <c:pt idx="1">
                  <c:v>0.218382685352622</c:v>
                </c:pt>
                <c:pt idx="2">
                  <c:v>0.43371383363472</c:v>
                </c:pt>
                <c:pt idx="3">
                  <c:v>0.672976943942134</c:v>
                </c:pt>
                <c:pt idx="4">
                  <c:v>0.712364376130199</c:v>
                </c:pt>
                <c:pt idx="5">
                  <c:v>0.829113924050633</c:v>
                </c:pt>
                <c:pt idx="6">
                  <c:v>0.911194620253165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Dashboard!M14</c:f>
              <c:strCache>
                <c:ptCount val="1"/>
                <c:pt idx="0">
                  <c:v>Hermit 1 Set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Dashboard!$M$15:$M$21</c:f>
              <c:numCache>
                <c:formatCode>0.0%</c:formatCode>
                <c:ptCount val="7"/>
                <c:pt idx="0">
                  <c:v>0</c:v>
                </c:pt>
                <c:pt idx="1">
                  <c:v>0.242030276046304</c:v>
                </c:pt>
                <c:pt idx="2">
                  <c:v>0.43793410507569</c:v>
                </c:pt>
                <c:pt idx="3">
                  <c:v>0.605936479667557</c:v>
                </c:pt>
                <c:pt idx="4">
                  <c:v>0.67373107747106</c:v>
                </c:pt>
                <c:pt idx="5">
                  <c:v>0.766340160284951</c:v>
                </c:pt>
                <c:pt idx="6">
                  <c:v>0.850103888394182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Dashboard!N14</c:f>
              <c:strCache>
                <c:ptCount val="1"/>
                <c:pt idx="0">
                  <c:v>Hermit 2 Set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Dashboard!$N$15:$N$21</c:f>
              <c:numCache>
                <c:formatCode>0.0%</c:formatCode>
                <c:ptCount val="7"/>
                <c:pt idx="0">
                  <c:v>0</c:v>
                </c:pt>
                <c:pt idx="1">
                  <c:v>0.239926433706738</c:v>
                </c:pt>
                <c:pt idx="2">
                  <c:v>0.431282394248453</c:v>
                </c:pt>
                <c:pt idx="3">
                  <c:v>0.582678481859221</c:v>
                </c:pt>
                <c:pt idx="4">
                  <c:v>0.683497742852366</c:v>
                </c:pt>
                <c:pt idx="5">
                  <c:v>0.816669453268684</c:v>
                </c:pt>
                <c:pt idx="6">
                  <c:v>0.924845343588029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Dashboard!O14</c:f>
              <c:strCache>
                <c:ptCount val="1"/>
                <c:pt idx="0">
                  <c:v>EasyTest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Dashboard!$H$15:$H$21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Dashboard!$O$15:$O$21</c:f>
              <c:numCache>
                <c:formatCode>0.0%</c:formatCode>
                <c:ptCount val="7"/>
                <c:pt idx="0">
                  <c:v>0</c:v>
                </c:pt>
                <c:pt idx="1">
                  <c:v>0.375402174678847</c:v>
                </c:pt>
                <c:pt idx="2">
                  <c:v>0.40311406495855</c:v>
                </c:pt>
                <c:pt idx="3">
                  <c:v>0.439491792113854</c:v>
                </c:pt>
                <c:pt idx="4">
                  <c:v>0.626617505460182</c:v>
                </c:pt>
                <c:pt idx="5">
                  <c:v>0.526643338578239</c:v>
                </c:pt>
                <c:pt idx="6">
                  <c:v>0.560860477677838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044121"/>
        <c:axId val="10845449"/>
      </c:lineChart>
      <c:catAx>
        <c:axId val="290441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45449"/>
        <c:crosses val="autoZero"/>
        <c:auto val="1"/>
        <c:lblAlgn val="ctr"/>
        <c:lblOffset val="100"/>
        <c:noMultiLvlLbl val="0"/>
      </c:catAx>
      <c:valAx>
        <c:axId val="10845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441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gain vs previous slice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Dashboard!$I$25</c:f>
              <c:strCache>
                <c:ptCount val="1"/>
                <c:pt idx="0">
                  <c:v>Wavetech Project 1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Dashboard!$I$27:$I$32</c:f>
              <c:numCache>
                <c:formatCode>0.0%</c:formatCode>
                <c:ptCount val="6"/>
                <c:pt idx="0">
                  <c:v>0.223791844003743</c:v>
                </c:pt>
                <c:pt idx="1">
                  <c:v>0.153096712132797</c:v>
                </c:pt>
                <c:pt idx="2">
                  <c:v>0.0872727272727272</c:v>
                </c:pt>
                <c:pt idx="3">
                  <c:v>0.104544560299036</c:v>
                </c:pt>
                <c:pt idx="4">
                  <c:v>0.0623040752351096</c:v>
                </c:pt>
                <c:pt idx="5">
                  <c:v>0.0732537473592434</c:v>
                </c:pt>
              </c:numCache>
            </c:numRef>
          </c:val>
        </c:ser>
        <c:ser>
          <c:idx val="1"/>
          <c:order val="1"/>
          <c:tx>
            <c:strRef>
              <c:f>Dashboard!$J$25</c:f>
              <c:strCache>
                <c:ptCount val="1"/>
                <c:pt idx="0">
                  <c:v>Wavetech Project 5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Dashboard!$J$27:$J$32</c:f>
              <c:numCache>
                <c:formatCode>0.0%</c:formatCode>
                <c:ptCount val="6"/>
                <c:pt idx="0">
                  <c:v>0.256973437405458</c:v>
                </c:pt>
                <c:pt idx="1">
                  <c:v>0.158635794743429</c:v>
                </c:pt>
                <c:pt idx="2">
                  <c:v>0.117472319740751</c:v>
                </c:pt>
                <c:pt idx="3">
                  <c:v>0.0864966353124883</c:v>
                </c:pt>
                <c:pt idx="4">
                  <c:v>0.0793368350813557</c:v>
                </c:pt>
                <c:pt idx="5">
                  <c:v>0.00930505357935441</c:v>
                </c:pt>
              </c:numCache>
            </c:numRef>
          </c:val>
        </c:ser>
        <c:ser>
          <c:idx val="2"/>
          <c:order val="2"/>
          <c:tx>
            <c:strRef>
              <c:f>Dashboard!$K$25</c:f>
              <c:strCache>
                <c:ptCount val="1"/>
                <c:pt idx="0">
                  <c:v>Quarry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Dashboard!$K$27:$K$32</c:f>
              <c:numCache>
                <c:formatCode>0.0%</c:formatCode>
                <c:ptCount val="6"/>
                <c:pt idx="0">
                  <c:v>0.285888466919848</c:v>
                </c:pt>
                <c:pt idx="1">
                  <c:v>0.246094539349945</c:v>
                </c:pt>
                <c:pt idx="2">
                  <c:v>0.224200087319903</c:v>
                </c:pt>
                <c:pt idx="3">
                  <c:v>0.130591615887832</c:v>
                </c:pt>
                <c:pt idx="4">
                  <c:v>-0.0654956107936623</c:v>
                </c:pt>
                <c:pt idx="5">
                  <c:v>0.0933482500217</c:v>
                </c:pt>
              </c:numCache>
            </c:numRef>
          </c:val>
        </c:ser>
        <c:ser>
          <c:idx val="3"/>
          <c:order val="3"/>
          <c:tx>
            <c:strRef>
              <c:f>Dashboard!$L$25</c:f>
              <c:strCache>
                <c:ptCount val="1"/>
                <c:pt idx="0">
                  <c:v>SciCraftMooshroom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Dashboard!$L$27:$L$32</c:f>
              <c:numCache>
                <c:formatCode>0.0%</c:formatCode>
                <c:ptCount val="6"/>
                <c:pt idx="0">
                  <c:v>0.218382685352622</c:v>
                </c:pt>
                <c:pt idx="1">
                  <c:v>0.176735233412954</c:v>
                </c:pt>
                <c:pt idx="2">
                  <c:v>0.16688344960782</c:v>
                </c:pt>
                <c:pt idx="3">
                  <c:v>0.0235433203850701</c:v>
                </c:pt>
                <c:pt idx="4">
                  <c:v>0.0681803181308165</c:v>
                </c:pt>
                <c:pt idx="5">
                  <c:v>0.0448745674740485</c:v>
                </c:pt>
              </c:numCache>
            </c:numRef>
          </c:val>
        </c:ser>
        <c:ser>
          <c:idx val="4"/>
          <c:order val="4"/>
          <c:tx>
            <c:strRef>
              <c:f>Dashboard!$M$25</c:f>
              <c:strCache>
                <c:ptCount val="1"/>
                <c:pt idx="0">
                  <c:v>Hermit 1 Set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Dashboard!$M$27:$M$32</c:f>
              <c:numCache>
                <c:formatCode>0.0%</c:formatCode>
                <c:ptCount val="6"/>
                <c:pt idx="0">
                  <c:v>0.242030276046304</c:v>
                </c:pt>
                <c:pt idx="1">
                  <c:v>0.157728706624606</c:v>
                </c:pt>
                <c:pt idx="2">
                  <c:v>0.116835934274626</c:v>
                </c:pt>
                <c:pt idx="3">
                  <c:v>0.0422149933461482</c:v>
                </c:pt>
                <c:pt idx="4">
                  <c:v>0.0553309214726538</c:v>
                </c:pt>
                <c:pt idx="5">
                  <c:v>0.0474221953350811</c:v>
                </c:pt>
              </c:numCache>
            </c:numRef>
          </c:val>
        </c:ser>
        <c:ser>
          <c:idx val="5"/>
          <c:order val="5"/>
          <c:tx>
            <c:strRef>
              <c:f>Dashboard!$N$25</c:f>
              <c:strCache>
                <c:ptCount val="1"/>
                <c:pt idx="0">
                  <c:v>Hermit 2 Set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Dashboard!$N$27:$N$32</c:f>
              <c:numCache>
                <c:formatCode>0.0%</c:formatCode>
                <c:ptCount val="6"/>
                <c:pt idx="0">
                  <c:v>0.239926433706738</c:v>
                </c:pt>
                <c:pt idx="1">
                  <c:v>0.154328478964401</c:v>
                </c:pt>
                <c:pt idx="2">
                  <c:v>0.105776531744641</c:v>
                </c:pt>
                <c:pt idx="3">
                  <c:v>0.063701669131629</c:v>
                </c:pt>
                <c:pt idx="4">
                  <c:v>0.0791041811500646</c:v>
                </c:pt>
                <c:pt idx="5">
                  <c:v>0.0595462703050942</c:v>
                </c:pt>
              </c:numCache>
            </c:numRef>
          </c:val>
        </c:ser>
        <c:ser>
          <c:idx val="6"/>
          <c:order val="6"/>
          <c:tx>
            <c:strRef>
              <c:f>Dashboard!$O$25</c:f>
              <c:strCache>
                <c:ptCount val="1"/>
                <c:pt idx="0">
                  <c:v>EasyTest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Dashboard!$H$27:$H$32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Dashboard!$O$27:$O$32</c:f>
              <c:numCache>
                <c:formatCode>0.0%</c:formatCode>
                <c:ptCount val="6"/>
                <c:pt idx="0">
                  <c:v>0.375402174678847</c:v>
                </c:pt>
                <c:pt idx="1">
                  <c:v>0.020148208858382</c:v>
                </c:pt>
                <c:pt idx="2">
                  <c:v>0.025926421852509</c:v>
                </c:pt>
                <c:pt idx="3">
                  <c:v>0.129994289909454</c:v>
                </c:pt>
                <c:pt idx="4">
                  <c:v>-0.0614613863101512</c:v>
                </c:pt>
                <c:pt idx="5">
                  <c:v>0.0224133156939359</c:v>
                </c:pt>
              </c:numCache>
            </c:numRef>
          </c:val>
        </c:ser>
        <c:gapWidth val="60"/>
        <c:overlap val="0"/>
        <c:axId val="91015568"/>
        <c:axId val="81780996"/>
      </c:barChart>
      <c:catAx>
        <c:axId val="910155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0996"/>
        <c:crosses val="autoZero"/>
        <c:auto val="1"/>
        <c:lblAlgn val="ctr"/>
        <c:lblOffset val="100"/>
        <c:noMultiLvlLbl val="0"/>
      </c:catAx>
      <c:valAx>
        <c:axId val="81780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55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Scaling efficiency — all tests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Dashboard!I36</c:f>
              <c:strCache>
                <c:ptCount val="1"/>
                <c:pt idx="0">
                  <c:v>Wavetech Project 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circle"/>
            <c:size val="5"/>
            <c:spPr>
              <a:solidFill>
                <a:srgbClr val="426f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Dashboard!$I$37:$I$43</c:f>
              <c:numCache>
                <c:formatCode>0.0%</c:formatCode>
                <c:ptCount val="7"/>
                <c:pt idx="0">
                  <c:v>1</c:v>
                </c:pt>
                <c:pt idx="1">
                  <c:v>0.815861229335829</c:v>
                </c:pt>
                <c:pt idx="2">
                  <c:v>0.705575175827825</c:v>
                </c:pt>
                <c:pt idx="3">
                  <c:v>0.613722116574602</c:v>
                </c:pt>
                <c:pt idx="4">
                  <c:v>0.564902854498073</c:v>
                </c:pt>
                <c:pt idx="5">
                  <c:v>0.514370232381642</c:v>
                </c:pt>
                <c:pt idx="6">
                  <c:v>0.483043557004437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Dashboard!J36</c:f>
              <c:strCache>
                <c:ptCount val="1"/>
                <c:pt idx="0">
                  <c:v>Wavetech Project 5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Dashboard!$J$37:$J$43</c:f>
              <c:numCache>
                <c:formatCode>0.0%</c:formatCode>
                <c:ptCount val="7"/>
                <c:pt idx="0">
                  <c:v>1</c:v>
                </c:pt>
                <c:pt idx="1">
                  <c:v>0.837982291603639</c:v>
                </c:pt>
                <c:pt idx="2">
                  <c:v>0.728187208809826</c:v>
                </c:pt>
                <c:pt idx="3">
                  <c:v>0.650983239547407</c:v>
                </c:pt>
                <c:pt idx="4">
                  <c:v>0.589409249510901</c:v>
                </c:pt>
                <c:pt idx="5">
                  <c:v>0.545289526229806</c:v>
                </c:pt>
                <c:pt idx="6">
                  <c:v>0.481568040176681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Dashboard!K36</c:f>
              <c:strCache>
                <c:ptCount val="1"/>
                <c:pt idx="0">
                  <c:v>Quarry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Dashboard!$K$37:$K$43</c:f>
              <c:numCache>
                <c:formatCode>0.0%</c:formatCode>
                <c:ptCount val="7"/>
                <c:pt idx="0">
                  <c:v>1</c:v>
                </c:pt>
                <c:pt idx="1">
                  <c:v>0.857258977946565</c:v>
                </c:pt>
                <c:pt idx="2">
                  <c:v>0.801169298420947</c:v>
                </c:pt>
                <c:pt idx="3">
                  <c:v>0.784633220067959</c:v>
                </c:pt>
                <c:pt idx="4">
                  <c:v>0.739249783463255</c:v>
                </c:pt>
                <c:pt idx="5">
                  <c:v>0.592141857742497</c:v>
                </c:pt>
                <c:pt idx="6">
                  <c:v>0.566490105936438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Dashboard!L36</c:f>
              <c:strCache>
                <c:ptCount val="1"/>
                <c:pt idx="0">
                  <c:v>SciCraftMooshroom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circle"/>
            <c:size val="5"/>
            <c:spPr>
              <a:solidFill>
                <a:srgbClr val="6f568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Dashboard!$L$37:$L$43</c:f>
              <c:numCache>
                <c:formatCode>0.0%</c:formatCode>
                <c:ptCount val="7"/>
                <c:pt idx="0">
                  <c:v>1</c:v>
                </c:pt>
                <c:pt idx="1">
                  <c:v>0.812255123568415</c:v>
                </c:pt>
                <c:pt idx="2">
                  <c:v>0.71685691681736</c:v>
                </c:pt>
                <c:pt idx="3">
                  <c:v>0.669190777576854</c:v>
                </c:pt>
                <c:pt idx="4">
                  <c:v>0.570788125376733</c:v>
                </c:pt>
                <c:pt idx="5">
                  <c:v>0.522603978300181</c:v>
                </c:pt>
                <c:pt idx="6">
                  <c:v>0.477798655063291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Dashboard!M36</c:f>
              <c:strCache>
                <c:ptCount val="1"/>
                <c:pt idx="0">
                  <c:v>Hermit 1 Set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circle"/>
            <c:size val="5"/>
            <c:spPr>
              <a:solidFill>
                <a:srgbClr val="3d97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Dashboard!$M$37:$M$43</c:f>
              <c:numCache>
                <c:formatCode>0.0%</c:formatCode>
                <c:ptCount val="7"/>
                <c:pt idx="0">
                  <c:v>1</c:v>
                </c:pt>
                <c:pt idx="1">
                  <c:v>0.82802018403087</c:v>
                </c:pt>
                <c:pt idx="2">
                  <c:v>0.718967052537845</c:v>
                </c:pt>
                <c:pt idx="3">
                  <c:v>0.642374591867023</c:v>
                </c:pt>
                <c:pt idx="4">
                  <c:v>0.55791035915702</c:v>
                </c:pt>
                <c:pt idx="5">
                  <c:v>0.504668617224272</c:v>
                </c:pt>
                <c:pt idx="6">
                  <c:v>0.462525972098546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Dashboard!N36</c:f>
              <c:strCache>
                <c:ptCount val="1"/>
                <c:pt idx="0">
                  <c:v>Hermit 2 Set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circle"/>
            <c:size val="5"/>
            <c:spPr>
              <a:solidFill>
                <a:srgbClr val="db82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Dashboard!$N$37:$N$43</c:f>
              <c:numCache>
                <c:formatCode>0.0%</c:formatCode>
                <c:ptCount val="7"/>
                <c:pt idx="0">
                  <c:v>1</c:v>
                </c:pt>
                <c:pt idx="1">
                  <c:v>0.826617622471159</c:v>
                </c:pt>
                <c:pt idx="2">
                  <c:v>0.715641197124227</c:v>
                </c:pt>
                <c:pt idx="3">
                  <c:v>0.633071392743688</c:v>
                </c:pt>
                <c:pt idx="4">
                  <c:v>0.561165914284122</c:v>
                </c:pt>
                <c:pt idx="5">
                  <c:v>0.519048415219624</c:v>
                </c:pt>
                <c:pt idx="6">
                  <c:v>0.481211335897007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Dashboard!O36</c:f>
              <c:strCache>
                <c:ptCount val="1"/>
                <c:pt idx="0">
                  <c:v>EasyTest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circle"/>
            <c:size val="5"/>
            <c:spPr>
              <a:solidFill>
                <a:srgbClr val="8ea5c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Dashboard!$H$37:$H$43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Dashboard!$O$37:$O$43</c:f>
              <c:numCache>
                <c:formatCode>0.0%</c:formatCode>
                <c:ptCount val="7"/>
                <c:pt idx="0">
                  <c:v>1</c:v>
                </c:pt>
                <c:pt idx="1">
                  <c:v>0.916934783119232</c:v>
                </c:pt>
                <c:pt idx="2">
                  <c:v>0.701557032479275</c:v>
                </c:pt>
                <c:pt idx="3">
                  <c:v>0.575796716845542</c:v>
                </c:pt>
                <c:pt idx="4">
                  <c:v>0.542205835153394</c:v>
                </c:pt>
                <c:pt idx="5">
                  <c:v>0.436183811022354</c:v>
                </c:pt>
                <c:pt idx="6">
                  <c:v>0.390215119419459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209955"/>
        <c:axId val="76347340"/>
      </c:lineChart>
      <c:catAx>
        <c:axId val="27209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47340"/>
        <c:crosses val="autoZero"/>
        <c:auto val="1"/>
        <c:lblAlgn val="ctr"/>
        <c:lblOffset val="100"/>
        <c:noMultiLvlLbl val="0"/>
      </c:catAx>
      <c:valAx>
        <c:axId val="7634734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efficiency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099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45</xdr:row>
      <xdr:rowOff>0</xdr:rowOff>
    </xdr:from>
    <xdr:to>
      <xdr:col>15</xdr:col>
      <xdr:colOff>45000</xdr:colOff>
      <xdr:row>62</xdr:row>
      <xdr:rowOff>19080</xdr:rowOff>
    </xdr:to>
    <xdr:graphicFrame>
      <xdr:nvGraphicFramePr>
        <xdr:cNvPr id="0" name="Chart 1"/>
        <xdr:cNvGraphicFramePr/>
      </xdr:nvGraphicFramePr>
      <xdr:xfrm>
        <a:off x="6061680" y="9439200"/>
        <a:ext cx="88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65</xdr:row>
      <xdr:rowOff>0</xdr:rowOff>
    </xdr:from>
    <xdr:to>
      <xdr:col>15</xdr:col>
      <xdr:colOff>45000</xdr:colOff>
      <xdr:row>82</xdr:row>
      <xdr:rowOff>19440</xdr:rowOff>
    </xdr:to>
    <xdr:graphicFrame>
      <xdr:nvGraphicFramePr>
        <xdr:cNvPr id="1" name="Chart 2"/>
        <xdr:cNvGraphicFramePr/>
      </xdr:nvGraphicFramePr>
      <xdr:xfrm>
        <a:off x="6061680" y="13439880"/>
        <a:ext cx="88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85</xdr:row>
      <xdr:rowOff>0</xdr:rowOff>
    </xdr:from>
    <xdr:to>
      <xdr:col>15</xdr:col>
      <xdr:colOff>45000</xdr:colOff>
      <xdr:row>102</xdr:row>
      <xdr:rowOff>19080</xdr:rowOff>
    </xdr:to>
    <xdr:graphicFrame>
      <xdr:nvGraphicFramePr>
        <xdr:cNvPr id="2" name="Chart 3"/>
        <xdr:cNvGraphicFramePr/>
      </xdr:nvGraphicFramePr>
      <xdr:xfrm>
        <a:off x="6061680" y="17440200"/>
        <a:ext cx="88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105</xdr:row>
      <xdr:rowOff>0</xdr:rowOff>
    </xdr:from>
    <xdr:to>
      <xdr:col>15</xdr:col>
      <xdr:colOff>45000</xdr:colOff>
      <xdr:row>122</xdr:row>
      <xdr:rowOff>19440</xdr:rowOff>
    </xdr:to>
    <xdr:graphicFrame>
      <xdr:nvGraphicFramePr>
        <xdr:cNvPr id="3" name="Chart 4"/>
        <xdr:cNvGraphicFramePr/>
      </xdr:nvGraphicFramePr>
      <xdr:xfrm>
        <a:off x="6061680" y="21440880"/>
        <a:ext cx="8855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temCounts" displayName="ItemCounts" ref="A3:C10" headerRowCount="1" totalsRowCount="0" totalsRowShown="0">
  <autoFilter ref="A3:C10"/>
  <tableColumns count="3">
    <tableColumn id="1" name="#"/>
    <tableColumn id="2" name="Test Name"/>
    <tableColumn id="3" name="Items Count"/>
  </tableColumns>
</table>
</file>

<file path=xl/tables/table2.xml><?xml version="1.0" encoding="utf-8"?>
<table xmlns="http://schemas.openxmlformats.org/spreadsheetml/2006/main" id="2" name="RawData" displayName="RawData" ref="A14:E63" headerRowCount="1" totalsRowCount="0" totalsRowShown="0">
  <autoFilter ref="A14:E63"/>
  <tableColumns count="5">
    <tableColumn id="1" name="Slice Count"/>
    <tableColumn id="2" name="Test Name"/>
    <tableColumn id="3" name="Speed (items/h)"/>
    <tableColumn id="4" name="Hopper Multiplier (x)"/>
    <tableColumn id="5" name="Time (min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3"/>
    <col collapsed="false" customWidth="true" hidden="false" outlineLevel="0" max="8" min="8" style="0" width="9"/>
    <col collapsed="false" customWidth="true" hidden="false" outlineLevel="0" max="10" min="9" style="0" width="22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5" min="13" style="0" width="13"/>
  </cols>
  <sheetData>
    <row r="1" customFormat="false" ht="21.75" hidden="false" customHeight="true" outlineLevel="0" collapsed="false">
      <c r="A1" s="1" t="s">
        <v>0</v>
      </c>
      <c r="H1" s="2" t="s">
        <v>1</v>
      </c>
    </row>
    <row r="2" customFormat="false" ht="15.75" hidden="false" customHeight="true" outlineLevel="0" collapsed="false"/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</row>
    <row r="4" customFormat="false" ht="15.75" hidden="false" customHeight="true" outlineLevel="0" collapsed="false">
      <c r="A4" s="5" t="n">
        <v>1</v>
      </c>
      <c r="B4" s="6" t="s">
        <v>6</v>
      </c>
      <c r="C4" s="7" t="n">
        <v>43650</v>
      </c>
      <c r="H4" s="8" t="n">
        <v>2</v>
      </c>
      <c r="I4" s="9" t="n">
        <f aca="false">SUMIFS($C$15:$C$63,$A$15:$A$63,$H4,$B$15:$B$63,I$3)</f>
        <v>33129</v>
      </c>
      <c r="J4" s="9" t="n">
        <f aca="false">SUMIFS($C$15:$C$63,$A$15:$A$63,$H4,$B$15:$B$63,J$3)</f>
        <v>33054</v>
      </c>
      <c r="K4" s="9" t="n">
        <f aca="false">SUMIFS($C$15:$C$63,$A$15:$A$63,$H4,$B$15:$B$63,K$3)</f>
        <v>50030</v>
      </c>
      <c r="L4" s="9" t="n">
        <f aca="false">SUMIFS($C$15:$C$63,$A$15:$A$63,$H4,$B$15:$B$63,L$3)</f>
        <v>35392</v>
      </c>
      <c r="M4" s="9" t="n">
        <f aca="false">SUMIFS($C$15:$C$63,$A$15:$A$63,$H4,$B$15:$B$63,M$3)</f>
        <v>16845</v>
      </c>
      <c r="N4" s="9" t="n">
        <f aca="false">SUMIFS($C$15:$C$63,$A$15:$A$63,$H4,$B$15:$B$63,N$3)</f>
        <v>11962</v>
      </c>
      <c r="O4" s="9" t="n">
        <f aca="false">SUMIFS($C$15:$C$63,$A$15:$A$63,$H4,$B$15:$B$63,O$3)</f>
        <v>42581</v>
      </c>
    </row>
    <row r="5" customFormat="false" ht="15.75" hidden="false" customHeight="true" outlineLevel="0" collapsed="false">
      <c r="A5" s="10" t="n">
        <v>2</v>
      </c>
      <c r="B5" s="11" t="s">
        <v>7</v>
      </c>
      <c r="C5" s="12" t="n">
        <v>26991</v>
      </c>
      <c r="H5" s="8" t="n">
        <v>3</v>
      </c>
      <c r="I5" s="13" t="n">
        <f aca="false">SUMIFS($C$15:$C$63,$A$15:$A$63,$H5,$B$15:$B$63,I$3)</f>
        <v>40543</v>
      </c>
      <c r="J5" s="13" t="n">
        <f aca="false">SUMIFS($C$15:$C$63,$A$15:$A$63,$H5,$B$15:$B$63,J$3)</f>
        <v>41548</v>
      </c>
      <c r="K5" s="13" t="n">
        <f aca="false">SUMIFS($C$15:$C$63,$A$15:$A$63,$H5,$B$15:$B$63,K$3)</f>
        <v>64333</v>
      </c>
      <c r="L5" s="13" t="n">
        <f aca="false">SUMIFS($C$15:$C$63,$A$15:$A$63,$H5,$B$15:$B$63,L$3)</f>
        <v>43121</v>
      </c>
      <c r="M5" s="13" t="n">
        <f aca="false">SUMIFS($C$15:$C$63,$A$15:$A$63,$H5,$B$15:$B$63,M$3)</f>
        <v>20922</v>
      </c>
      <c r="N5" s="13" t="n">
        <f aca="false">SUMIFS($C$15:$C$63,$A$15:$A$63,$H5,$B$15:$B$63,N$3)</f>
        <v>14832</v>
      </c>
      <c r="O5" s="13" t="n">
        <f aca="false">SUMIFS($C$15:$C$63,$A$15:$A$63,$H5,$B$15:$B$63,O$3)</f>
        <v>58566</v>
      </c>
    </row>
    <row r="6" customFormat="false" ht="15.75" hidden="false" customHeight="true" outlineLevel="0" collapsed="false">
      <c r="A6" s="5" t="n">
        <v>3</v>
      </c>
      <c r="B6" s="6" t="s">
        <v>8</v>
      </c>
      <c r="C6" s="7" t="n">
        <v>71322</v>
      </c>
      <c r="H6" s="8" t="n">
        <v>4</v>
      </c>
      <c r="I6" s="9" t="n">
        <f aca="false">SUMIFS($C$15:$C$63,$A$15:$A$63,$H6,$B$15:$B$63,I$3)</f>
        <v>46750</v>
      </c>
      <c r="J6" s="9" t="n">
        <f aca="false">SUMIFS($C$15:$C$63,$A$15:$A$63,$H6,$B$15:$B$63,J$3)</f>
        <v>48139</v>
      </c>
      <c r="K6" s="9" t="n">
        <f aca="false">SUMIFS($C$15:$C$63,$A$15:$A$63,$H6,$B$15:$B$63,K$3)</f>
        <v>80165</v>
      </c>
      <c r="L6" s="9" t="n">
        <f aca="false">SUMIFS($C$15:$C$63,$A$15:$A$63,$H6,$B$15:$B$63,L$3)</f>
        <v>50742</v>
      </c>
      <c r="M6" s="9" t="n">
        <f aca="false">SUMIFS($C$15:$C$63,$A$15:$A$63,$H6,$B$15:$B$63,M$3)</f>
        <v>24222</v>
      </c>
      <c r="N6" s="9" t="n">
        <f aca="false">SUMIFS($C$15:$C$63,$A$15:$A$63,$H6,$B$15:$B$63,N$3)</f>
        <v>17121</v>
      </c>
      <c r="O6" s="9" t="n">
        <f aca="false">SUMIFS($C$15:$C$63,$A$15:$A$63,$H6,$B$15:$B$63,O$3)</f>
        <v>59746</v>
      </c>
    </row>
    <row r="7" customFormat="false" ht="15.75" hidden="false" customHeight="true" outlineLevel="0" collapsed="false">
      <c r="A7" s="10" t="n">
        <v>4</v>
      </c>
      <c r="B7" s="11" t="s">
        <v>9</v>
      </c>
      <c r="C7" s="12" t="n">
        <v>43623</v>
      </c>
      <c r="H7" s="8" t="n">
        <v>5</v>
      </c>
      <c r="I7" s="13" t="n">
        <f aca="false">SUMIFS($C$15:$C$63,$A$15:$A$63,$H7,$B$15:$B$63,I$3)</f>
        <v>50830</v>
      </c>
      <c r="J7" s="13" t="n">
        <f aca="false">SUMIFS($C$15:$C$63,$A$15:$A$63,$H7,$B$15:$B$63,J$3)</f>
        <v>53794</v>
      </c>
      <c r="K7" s="13" t="n">
        <f aca="false">SUMIFS($C$15:$C$63,$A$15:$A$63,$H7,$B$15:$B$63,K$3)</f>
        <v>98138</v>
      </c>
      <c r="L7" s="13" t="n">
        <f aca="false">SUMIFS($C$15:$C$63,$A$15:$A$63,$H7,$B$15:$B$63,L$3)</f>
        <v>59210</v>
      </c>
      <c r="M7" s="13" t="n">
        <f aca="false">SUMIFS($C$15:$C$63,$A$15:$A$63,$H7,$B$15:$B$63,M$3)</f>
        <v>27052</v>
      </c>
      <c r="N7" s="13" t="n">
        <f aca="false">SUMIFS($C$15:$C$63,$A$15:$A$63,$H7,$B$15:$B$63,N$3)</f>
        <v>18932</v>
      </c>
      <c r="O7" s="13" t="n">
        <f aca="false">SUMIFS($C$15:$C$63,$A$15:$A$63,$H7,$B$15:$B$63,O$3)</f>
        <v>61295</v>
      </c>
    </row>
    <row r="8" customFormat="false" ht="15.75" hidden="false" customHeight="true" outlineLevel="0" collapsed="false">
      <c r="A8" s="5" t="n">
        <v>5</v>
      </c>
      <c r="B8" s="6" t="s">
        <v>10</v>
      </c>
      <c r="C8" s="7" t="n">
        <v>59118</v>
      </c>
      <c r="H8" s="8" t="n">
        <v>6</v>
      </c>
      <c r="I8" s="9" t="n">
        <f aca="false">SUMIFS($C$15:$C$63,$A$15:$A$63,$H8,$B$15:$B$63,I$3)</f>
        <v>56144</v>
      </c>
      <c r="J8" s="9" t="n">
        <f aca="false">SUMIFS($C$15:$C$63,$A$15:$A$63,$H8,$B$15:$B$63,J$3)</f>
        <v>58447</v>
      </c>
      <c r="K8" s="9" t="n">
        <f aca="false">SUMIFS($C$15:$C$63,$A$15:$A$63,$H8,$B$15:$B$63,K$3)</f>
        <v>110954</v>
      </c>
      <c r="L8" s="9" t="n">
        <f aca="false">SUMIFS($C$15:$C$63,$A$15:$A$63,$H8,$B$15:$B$63,L$3)</f>
        <v>60604</v>
      </c>
      <c r="M8" s="9" t="n">
        <f aca="false">SUMIFS($C$15:$C$63,$A$15:$A$63,$H8,$B$15:$B$63,M$3)</f>
        <v>28194</v>
      </c>
      <c r="N8" s="9" t="n">
        <f aca="false">SUMIFS($C$15:$C$63,$A$15:$A$63,$H8,$B$15:$B$63,N$3)</f>
        <v>20138</v>
      </c>
      <c r="O8" s="9" t="n">
        <f aca="false">SUMIFS($C$15:$C$63,$A$15:$A$63,$H8,$B$15:$B$63,O$3)</f>
        <v>69263</v>
      </c>
    </row>
    <row r="9" customFormat="false" ht="15.75" hidden="false" customHeight="true" outlineLevel="0" collapsed="false">
      <c r="A9" s="10" t="n">
        <v>6</v>
      </c>
      <c r="B9" s="11" t="s">
        <v>11</v>
      </c>
      <c r="C9" s="12" t="n">
        <v>50261</v>
      </c>
      <c r="H9" s="8" t="n">
        <v>7</v>
      </c>
      <c r="I9" s="13" t="n">
        <f aca="false">SUMIFS($C$15:$C$63,$A$15:$A$63,$H9,$B$15:$B$63,I$3)</f>
        <v>59642</v>
      </c>
      <c r="J9" s="13" t="n">
        <f aca="false">SUMIFS($C$15:$C$63,$A$15:$A$63,$H9,$B$15:$B$63,J$3)</f>
        <v>63084</v>
      </c>
      <c r="K9" s="13" t="n">
        <f aca="false">SUMIFS($C$15:$C$63,$A$15:$A$63,$H9,$B$15:$B$63,K$3)</f>
        <v>103687</v>
      </c>
      <c r="L9" s="13" t="n">
        <f aca="false">SUMIFS($C$15:$C$63,$A$15:$A$63,$H9,$B$15:$B$63,L$3)</f>
        <v>64736</v>
      </c>
      <c r="M9" s="13" t="n">
        <f aca="false">SUMIFS($C$15:$C$63,$A$15:$A$63,$H9,$B$15:$B$63,M$3)</f>
        <v>29754</v>
      </c>
      <c r="N9" s="13" t="n">
        <f aca="false">SUMIFS($C$15:$C$63,$A$15:$A$63,$H9,$B$15:$B$63,N$3)</f>
        <v>21731</v>
      </c>
      <c r="O9" s="13" t="n">
        <f aca="false">SUMIFS($C$15:$C$63,$A$15:$A$63,$H9,$B$15:$B$63,O$3)</f>
        <v>65006</v>
      </c>
    </row>
    <row r="10" customFormat="false" ht="15.75" hidden="false" customHeight="true" outlineLevel="0" collapsed="false">
      <c r="A10" s="5" t="n">
        <v>7</v>
      </c>
      <c r="B10" s="6" t="s">
        <v>12</v>
      </c>
      <c r="C10" s="7" t="n">
        <v>11692</v>
      </c>
      <c r="H10" s="8" t="n">
        <v>8</v>
      </c>
      <c r="I10" s="9" t="n">
        <f aca="false">SUMIFS($C$15:$C$63,$A$15:$A$63,$H10,$B$15:$B$63,I$3)</f>
        <v>64011</v>
      </c>
      <c r="J10" s="9" t="n">
        <f aca="false">SUMIFS($C$15:$C$63,$A$15:$A$63,$H10,$B$15:$B$63,J$3)</f>
        <v>63671</v>
      </c>
      <c r="K10" s="9" t="n">
        <f aca="false">SUMIFS($C$15:$C$63,$A$15:$A$63,$H10,$B$15:$B$63,K$3)</f>
        <v>113366</v>
      </c>
      <c r="L10" s="9" t="n">
        <f aca="false">SUMIFS($C$15:$C$63,$A$15:$A$63,$H10,$B$15:$B$63,L$3)</f>
        <v>67641</v>
      </c>
      <c r="M10" s="9" t="n">
        <f aca="false">SUMIFS($C$15:$C$63,$A$15:$A$63,$H10,$B$15:$B$63,M$3)</f>
        <v>31165</v>
      </c>
      <c r="N10" s="9" t="n">
        <f aca="false">SUMIFS($C$15:$C$63,$A$15:$A$63,$H10,$B$15:$B$63,N$3)</f>
        <v>23025</v>
      </c>
      <c r="O10" s="9" t="n">
        <f aca="false">SUMIFS($C$15:$C$63,$A$15:$A$63,$H10,$B$15:$B$63,O$3)</f>
        <v>66463</v>
      </c>
    </row>
    <row r="11" customFormat="false" ht="15.75" hidden="false" customHeight="true" outlineLevel="0" collapsed="false"/>
    <row r="12" customFormat="false" ht="15.75" hidden="false" customHeight="true" outlineLevel="0" collapsed="false">
      <c r="A12" s="1" t="s">
        <v>13</v>
      </c>
      <c r="H12" s="2" t="s">
        <v>14</v>
      </c>
    </row>
    <row r="13" customFormat="false" ht="15.75" hidden="false" customHeight="true" outlineLevel="0" collapsed="false"/>
    <row r="14" customFormat="false" ht="30" hidden="false" customHeight="true" outlineLevel="0" collapsed="false">
      <c r="A14" s="3" t="s">
        <v>15</v>
      </c>
      <c r="B14" s="3" t="s">
        <v>3</v>
      </c>
      <c r="C14" s="3" t="s">
        <v>1</v>
      </c>
      <c r="D14" s="3" t="s">
        <v>16</v>
      </c>
      <c r="E14" s="3" t="s">
        <v>17</v>
      </c>
      <c r="H14" s="4" t="s">
        <v>5</v>
      </c>
      <c r="I14" s="4" t="s">
        <v>6</v>
      </c>
      <c r="J14" s="4" t="s">
        <v>7</v>
      </c>
      <c r="K14" s="4" t="s">
        <v>8</v>
      </c>
      <c r="L14" s="4" t="s">
        <v>9</v>
      </c>
      <c r="M14" s="4" t="s">
        <v>10</v>
      </c>
      <c r="N14" s="4" t="s">
        <v>11</v>
      </c>
      <c r="O14" s="4" t="s">
        <v>12</v>
      </c>
    </row>
    <row r="15" customFormat="false" ht="15.75" hidden="false" customHeight="true" outlineLevel="0" collapsed="false">
      <c r="A15" s="10" t="n">
        <v>2</v>
      </c>
      <c r="B15" s="11" t="s">
        <v>6</v>
      </c>
      <c r="C15" s="12" t="n">
        <v>33129</v>
      </c>
      <c r="D15" s="14" t="n">
        <f aca="false">C15/9000</f>
        <v>3.681</v>
      </c>
      <c r="E15" s="14" t="n">
        <v>79.06</v>
      </c>
      <c r="H15" s="8" t="n">
        <v>2</v>
      </c>
      <c r="I15" s="15" t="n">
        <f aca="false">I4/I$4-1</f>
        <v>0</v>
      </c>
      <c r="J15" s="15" t="n">
        <f aca="false">J4/J$4-1</f>
        <v>0</v>
      </c>
      <c r="K15" s="15" t="n">
        <f aca="false">K4/K$4-1</f>
        <v>0</v>
      </c>
      <c r="L15" s="15" t="n">
        <f aca="false">L4/L$4-1</f>
        <v>0</v>
      </c>
      <c r="M15" s="15" t="n">
        <f aca="false">M4/M$4-1</f>
        <v>0</v>
      </c>
      <c r="N15" s="15" t="n">
        <f aca="false">N4/N$4-1</f>
        <v>0</v>
      </c>
      <c r="O15" s="15" t="n">
        <f aca="false">O4/O$4-1</f>
        <v>0</v>
      </c>
    </row>
    <row r="16" customFormat="false" ht="15.75" hidden="false" customHeight="true" outlineLevel="0" collapsed="false">
      <c r="A16" s="10" t="n">
        <v>2</v>
      </c>
      <c r="B16" s="11" t="s">
        <v>7</v>
      </c>
      <c r="C16" s="12" t="n">
        <v>33054</v>
      </c>
      <c r="D16" s="14" t="n">
        <f aca="false">C16/9000</f>
        <v>3.67266666666667</v>
      </c>
      <c r="E16" s="14" t="n">
        <v>49</v>
      </c>
      <c r="H16" s="8" t="n">
        <v>3</v>
      </c>
      <c r="I16" s="16" t="n">
        <f aca="false">I5/I$4-1</f>
        <v>0.223791844003743</v>
      </c>
      <c r="J16" s="16" t="n">
        <f aca="false">J5/J$4-1</f>
        <v>0.256973437405458</v>
      </c>
      <c r="K16" s="16" t="n">
        <f aca="false">K5/K$4-1</f>
        <v>0.285888466919848</v>
      </c>
      <c r="L16" s="16" t="n">
        <f aca="false">L5/L$4-1</f>
        <v>0.218382685352622</v>
      </c>
      <c r="M16" s="16" t="n">
        <f aca="false">M5/M$4-1</f>
        <v>0.242030276046304</v>
      </c>
      <c r="N16" s="16" t="n">
        <f aca="false">N5/N$4-1</f>
        <v>0.239926433706738</v>
      </c>
      <c r="O16" s="16" t="n">
        <f aca="false">O5/O$4-1</f>
        <v>0.375402174678847</v>
      </c>
    </row>
    <row r="17" customFormat="false" ht="15.75" hidden="false" customHeight="true" outlineLevel="0" collapsed="false">
      <c r="A17" s="10" t="n">
        <v>2</v>
      </c>
      <c r="B17" s="11" t="s">
        <v>8</v>
      </c>
      <c r="C17" s="12" t="n">
        <v>50030</v>
      </c>
      <c r="D17" s="14" t="n">
        <f aca="false">C17/9000</f>
        <v>5.55888888888889</v>
      </c>
      <c r="E17" s="14" t="n">
        <v>85.54</v>
      </c>
      <c r="H17" s="8" t="n">
        <v>4</v>
      </c>
      <c r="I17" s="15" t="n">
        <f aca="false">I6/I$4-1</f>
        <v>0.411150351655649</v>
      </c>
      <c r="J17" s="15" t="n">
        <f aca="false">J6/J$4-1</f>
        <v>0.456374417619653</v>
      </c>
      <c r="K17" s="15" t="n">
        <f aca="false">K6/K$4-1</f>
        <v>0.602338596841895</v>
      </c>
      <c r="L17" s="15" t="n">
        <f aca="false">L6/L$4-1</f>
        <v>0.43371383363472</v>
      </c>
      <c r="M17" s="15" t="n">
        <f aca="false">M6/M$4-1</f>
        <v>0.43793410507569</v>
      </c>
      <c r="N17" s="15" t="n">
        <f aca="false">N6/N$4-1</f>
        <v>0.431282394248453</v>
      </c>
      <c r="O17" s="15" t="n">
        <f aca="false">O6/O$4-1</f>
        <v>0.40311406495855</v>
      </c>
    </row>
    <row r="18" customFormat="false" ht="15.75" hidden="false" customHeight="true" outlineLevel="0" collapsed="false">
      <c r="A18" s="10" t="n">
        <v>2</v>
      </c>
      <c r="B18" s="11" t="s">
        <v>9</v>
      </c>
      <c r="C18" s="12" t="n">
        <v>35392</v>
      </c>
      <c r="D18" s="14" t="n">
        <f aca="false">C18/9000</f>
        <v>3.93244444444444</v>
      </c>
      <c r="E18" s="14" t="n">
        <v>73.96</v>
      </c>
      <c r="H18" s="8" t="n">
        <v>5</v>
      </c>
      <c r="I18" s="16" t="n">
        <f aca="false">I7/I$4-1</f>
        <v>0.534305291436506</v>
      </c>
      <c r="J18" s="16" t="n">
        <f aca="false">J7/J$4-1</f>
        <v>0.627458098868518</v>
      </c>
      <c r="K18" s="16" t="n">
        <f aca="false">K7/K$4-1</f>
        <v>0.961583050169898</v>
      </c>
      <c r="L18" s="16" t="n">
        <f aca="false">L7/L$4-1</f>
        <v>0.672976943942134</v>
      </c>
      <c r="M18" s="16" t="n">
        <f aca="false">M7/M$4-1</f>
        <v>0.605936479667557</v>
      </c>
      <c r="N18" s="16" t="n">
        <f aca="false">N7/N$4-1</f>
        <v>0.582678481859221</v>
      </c>
      <c r="O18" s="16" t="n">
        <f aca="false">O7/O$4-1</f>
        <v>0.439491792113854</v>
      </c>
    </row>
    <row r="19" customFormat="false" ht="15.75" hidden="false" customHeight="true" outlineLevel="0" collapsed="false">
      <c r="A19" s="10" t="n">
        <v>2</v>
      </c>
      <c r="B19" s="11" t="s">
        <v>10</v>
      </c>
      <c r="C19" s="12" t="n">
        <v>16845</v>
      </c>
      <c r="D19" s="14" t="n">
        <f aca="false">C19/9000</f>
        <v>1.87166666666667</v>
      </c>
      <c r="E19" s="14" t="n">
        <v>210.58</v>
      </c>
      <c r="H19" s="8" t="n">
        <v>6</v>
      </c>
      <c r="I19" s="15" t="n">
        <f aca="false">I8/I$4-1</f>
        <v>0.69470856349422</v>
      </c>
      <c r="J19" s="15" t="n">
        <f aca="false">J8/J$4-1</f>
        <v>0.768227748532704</v>
      </c>
      <c r="K19" s="15" t="n">
        <f aca="false">K8/K$4-1</f>
        <v>1.21774935038977</v>
      </c>
      <c r="L19" s="15" t="n">
        <f aca="false">L8/L$4-1</f>
        <v>0.712364376130199</v>
      </c>
      <c r="M19" s="15" t="n">
        <f aca="false">M8/M$4-1</f>
        <v>0.67373107747106</v>
      </c>
      <c r="N19" s="15" t="n">
        <f aca="false">N8/N$4-1</f>
        <v>0.683497742852366</v>
      </c>
      <c r="O19" s="15" t="n">
        <f aca="false">O8/O$4-1</f>
        <v>0.626617505460182</v>
      </c>
    </row>
    <row r="20" customFormat="false" ht="15.75" hidden="false" customHeight="true" outlineLevel="0" collapsed="false">
      <c r="A20" s="10" t="n">
        <v>2</v>
      </c>
      <c r="B20" s="11" t="s">
        <v>11</v>
      </c>
      <c r="C20" s="12" t="n">
        <v>11962</v>
      </c>
      <c r="D20" s="14" t="n">
        <f aca="false">C20/9000</f>
        <v>1.32911111111111</v>
      </c>
      <c r="E20" s="14" t="n">
        <v>252.1</v>
      </c>
      <c r="H20" s="8" t="n">
        <v>7</v>
      </c>
      <c r="I20" s="16" t="n">
        <f aca="false">I9/I$4-1</f>
        <v>0.800295813335748</v>
      </c>
      <c r="J20" s="16" t="n">
        <f aca="false">J9/J$4-1</f>
        <v>0.90851334180432</v>
      </c>
      <c r="K20" s="16" t="n">
        <f aca="false">K9/K$4-1</f>
        <v>1.07249650209874</v>
      </c>
      <c r="L20" s="16" t="n">
        <f aca="false">L9/L$4-1</f>
        <v>0.829113924050633</v>
      </c>
      <c r="M20" s="16" t="n">
        <f aca="false">M9/M$4-1</f>
        <v>0.766340160284951</v>
      </c>
      <c r="N20" s="16" t="n">
        <f aca="false">N9/N$4-1</f>
        <v>0.816669453268684</v>
      </c>
      <c r="O20" s="16" t="n">
        <f aca="false">O9/O$4-1</f>
        <v>0.526643338578239</v>
      </c>
    </row>
    <row r="21" customFormat="false" ht="15.75" hidden="false" customHeight="true" outlineLevel="0" collapsed="false">
      <c r="A21" s="10" t="n">
        <v>2</v>
      </c>
      <c r="B21" s="11" t="s">
        <v>12</v>
      </c>
      <c r="C21" s="12" t="n">
        <v>42581</v>
      </c>
      <c r="D21" s="14" t="n">
        <f aca="false">C21/9000</f>
        <v>4.73122222222222</v>
      </c>
      <c r="E21" s="14" t="n">
        <v>16.48</v>
      </c>
      <c r="H21" s="8" t="n">
        <v>8</v>
      </c>
      <c r="I21" s="15" t="n">
        <f aca="false">I10/I$4-1</f>
        <v>0.932174228017749</v>
      </c>
      <c r="J21" s="15" t="n">
        <f aca="false">J10/J$4-1</f>
        <v>0.926272160706722</v>
      </c>
      <c r="K21" s="15" t="n">
        <f aca="false">K10/K$4-1</f>
        <v>1.26596042374575</v>
      </c>
      <c r="L21" s="15" t="n">
        <f aca="false">L10/L$4-1</f>
        <v>0.911194620253165</v>
      </c>
      <c r="M21" s="15" t="n">
        <f aca="false">M10/M$4-1</f>
        <v>0.850103888394182</v>
      </c>
      <c r="N21" s="15" t="n">
        <f aca="false">N10/N$4-1</f>
        <v>0.924845343588029</v>
      </c>
      <c r="O21" s="15" t="n">
        <f aca="false">O10/O$4-1</f>
        <v>0.560860477677838</v>
      </c>
    </row>
    <row r="22" customFormat="false" ht="15.75" hidden="false" customHeight="true" outlineLevel="0" collapsed="false">
      <c r="A22" s="5" t="n">
        <v>3</v>
      </c>
      <c r="B22" s="6" t="s">
        <v>6</v>
      </c>
      <c r="C22" s="7" t="n">
        <v>40543</v>
      </c>
      <c r="D22" s="17" t="n">
        <f aca="false">C22/9000</f>
        <v>4.50477777777778</v>
      </c>
      <c r="E22" s="17" t="n">
        <v>64.6</v>
      </c>
    </row>
    <row r="23" customFormat="false" ht="15.75" hidden="false" customHeight="true" outlineLevel="0" collapsed="false">
      <c r="A23" s="5" t="n">
        <v>3</v>
      </c>
      <c r="B23" s="6" t="s">
        <v>7</v>
      </c>
      <c r="C23" s="7" t="n">
        <v>41548</v>
      </c>
      <c r="D23" s="17" t="n">
        <f aca="false">C23/9000</f>
        <v>4.61644444444444</v>
      </c>
      <c r="E23" s="17" t="n">
        <v>38.98</v>
      </c>
      <c r="H23" s="2" t="s">
        <v>18</v>
      </c>
    </row>
    <row r="24" customFormat="false" ht="15.75" hidden="false" customHeight="true" outlineLevel="0" collapsed="false">
      <c r="A24" s="5" t="n">
        <v>3</v>
      </c>
      <c r="B24" s="6" t="s">
        <v>8</v>
      </c>
      <c r="C24" s="7" t="n">
        <v>64333</v>
      </c>
      <c r="D24" s="17" t="n">
        <f aca="false">C24/9000</f>
        <v>7.14811111111111</v>
      </c>
      <c r="E24" s="17" t="n">
        <v>66.52</v>
      </c>
    </row>
    <row r="25" customFormat="false" ht="15.75" hidden="false" customHeight="true" outlineLevel="0" collapsed="false">
      <c r="A25" s="5" t="n">
        <v>3</v>
      </c>
      <c r="B25" s="6" t="s">
        <v>9</v>
      </c>
      <c r="C25" s="7" t="n">
        <v>43121</v>
      </c>
      <c r="D25" s="17" t="n">
        <f aca="false">C25/9000</f>
        <v>4.79122222222222</v>
      </c>
      <c r="E25" s="17" t="n">
        <v>60.7</v>
      </c>
      <c r="H25" s="4" t="s">
        <v>5</v>
      </c>
      <c r="I25" s="4" t="s">
        <v>6</v>
      </c>
      <c r="J25" s="4" t="s">
        <v>7</v>
      </c>
      <c r="K25" s="4" t="s">
        <v>8</v>
      </c>
      <c r="L25" s="4" t="s">
        <v>9</v>
      </c>
      <c r="M25" s="4" t="s">
        <v>10</v>
      </c>
      <c r="N25" s="4" t="s">
        <v>11</v>
      </c>
      <c r="O25" s="4" t="s">
        <v>12</v>
      </c>
    </row>
    <row r="26" customFormat="false" ht="15.75" hidden="false" customHeight="true" outlineLevel="0" collapsed="false">
      <c r="A26" s="5" t="n">
        <v>3</v>
      </c>
      <c r="B26" s="6" t="s">
        <v>10</v>
      </c>
      <c r="C26" s="7" t="n">
        <v>20922</v>
      </c>
      <c r="D26" s="17" t="n">
        <f aca="false">C26/9000</f>
        <v>2.32466666666667</v>
      </c>
      <c r="E26" s="17" t="n">
        <v>169.54</v>
      </c>
      <c r="H26" s="8" t="n">
        <v>2</v>
      </c>
      <c r="I26" s="15" t="s">
        <v>19</v>
      </c>
      <c r="J26" s="15" t="s">
        <v>19</v>
      </c>
      <c r="K26" s="15" t="s">
        <v>19</v>
      </c>
      <c r="L26" s="15" t="s">
        <v>19</v>
      </c>
      <c r="M26" s="15" t="s">
        <v>19</v>
      </c>
      <c r="N26" s="15" t="s">
        <v>19</v>
      </c>
      <c r="O26" s="15" t="s">
        <v>19</v>
      </c>
    </row>
    <row r="27" customFormat="false" ht="15.75" hidden="false" customHeight="true" outlineLevel="0" collapsed="false">
      <c r="A27" s="5" t="n">
        <v>3</v>
      </c>
      <c r="B27" s="6" t="s">
        <v>11</v>
      </c>
      <c r="C27" s="7" t="n">
        <v>14832</v>
      </c>
      <c r="D27" s="17" t="n">
        <f aca="false">C27/9000</f>
        <v>1.648</v>
      </c>
      <c r="E27" s="17" t="n">
        <v>203.32</v>
      </c>
      <c r="H27" s="8" t="n">
        <v>3</v>
      </c>
      <c r="I27" s="16" t="n">
        <f aca="false">I5/I4-1</f>
        <v>0.223791844003743</v>
      </c>
      <c r="J27" s="16" t="n">
        <f aca="false">J5/J4-1</f>
        <v>0.256973437405458</v>
      </c>
      <c r="K27" s="16" t="n">
        <f aca="false">K5/K4-1</f>
        <v>0.285888466919848</v>
      </c>
      <c r="L27" s="16" t="n">
        <f aca="false">L5/L4-1</f>
        <v>0.218382685352622</v>
      </c>
      <c r="M27" s="16" t="n">
        <f aca="false">M5/M4-1</f>
        <v>0.242030276046304</v>
      </c>
      <c r="N27" s="16" t="n">
        <f aca="false">N5/N4-1</f>
        <v>0.239926433706738</v>
      </c>
      <c r="O27" s="16" t="n">
        <f aca="false">O5/O4-1</f>
        <v>0.375402174678847</v>
      </c>
    </row>
    <row r="28" customFormat="false" ht="15.75" hidden="false" customHeight="true" outlineLevel="0" collapsed="false">
      <c r="A28" s="5" t="n">
        <v>3</v>
      </c>
      <c r="B28" s="6" t="s">
        <v>12</v>
      </c>
      <c r="C28" s="7" t="n">
        <v>58566</v>
      </c>
      <c r="D28" s="17" t="n">
        <f aca="false">C28/9000</f>
        <v>6.50733333333333</v>
      </c>
      <c r="E28" s="17" t="n">
        <v>11.98</v>
      </c>
      <c r="H28" s="8" t="n">
        <v>4</v>
      </c>
      <c r="I28" s="15" t="n">
        <f aca="false">I6/I5-1</f>
        <v>0.153096712132797</v>
      </c>
      <c r="J28" s="15" t="n">
        <f aca="false">J6/J5-1</f>
        <v>0.158635794743429</v>
      </c>
      <c r="K28" s="15" t="n">
        <f aca="false">K6/K5-1</f>
        <v>0.246094539349945</v>
      </c>
      <c r="L28" s="15" t="n">
        <f aca="false">L6/L5-1</f>
        <v>0.176735233412954</v>
      </c>
      <c r="M28" s="15" t="n">
        <f aca="false">M6/M5-1</f>
        <v>0.157728706624606</v>
      </c>
      <c r="N28" s="15" t="n">
        <f aca="false">N6/N5-1</f>
        <v>0.154328478964401</v>
      </c>
      <c r="O28" s="15" t="n">
        <f aca="false">O6/O5-1</f>
        <v>0.020148208858382</v>
      </c>
    </row>
    <row r="29" customFormat="false" ht="15.75" hidden="false" customHeight="true" outlineLevel="0" collapsed="false">
      <c r="A29" s="10" t="n">
        <v>4</v>
      </c>
      <c r="B29" s="11" t="s">
        <v>6</v>
      </c>
      <c r="C29" s="12" t="n">
        <v>46750</v>
      </c>
      <c r="D29" s="14" t="n">
        <f aca="false">C29/9000</f>
        <v>5.19444444444445</v>
      </c>
      <c r="E29" s="14" t="n">
        <v>56.02</v>
      </c>
      <c r="H29" s="8" t="n">
        <v>5</v>
      </c>
      <c r="I29" s="16" t="n">
        <f aca="false">I7/I6-1</f>
        <v>0.0872727272727272</v>
      </c>
      <c r="J29" s="16" t="n">
        <f aca="false">J7/J6-1</f>
        <v>0.117472319740751</v>
      </c>
      <c r="K29" s="16" t="n">
        <f aca="false">K7/K6-1</f>
        <v>0.224200087319903</v>
      </c>
      <c r="L29" s="16" t="n">
        <f aca="false">L7/L6-1</f>
        <v>0.16688344960782</v>
      </c>
      <c r="M29" s="16" t="n">
        <f aca="false">M7/M6-1</f>
        <v>0.116835934274626</v>
      </c>
      <c r="N29" s="16" t="n">
        <f aca="false">N7/N6-1</f>
        <v>0.105776531744641</v>
      </c>
      <c r="O29" s="16" t="n">
        <f aca="false">O7/O6-1</f>
        <v>0.025926421852509</v>
      </c>
    </row>
    <row r="30" customFormat="false" ht="15.75" hidden="false" customHeight="true" outlineLevel="0" collapsed="false">
      <c r="A30" s="10" t="n">
        <v>4</v>
      </c>
      <c r="B30" s="11" t="s">
        <v>7</v>
      </c>
      <c r="C30" s="12" t="n">
        <v>48139</v>
      </c>
      <c r="D30" s="14" t="n">
        <f aca="false">C30/9000</f>
        <v>5.34877777777778</v>
      </c>
      <c r="E30" s="14" t="n">
        <v>33.64</v>
      </c>
      <c r="H30" s="8" t="n">
        <v>6</v>
      </c>
      <c r="I30" s="15" t="n">
        <f aca="false">I8/I7-1</f>
        <v>0.104544560299036</v>
      </c>
      <c r="J30" s="15" t="n">
        <f aca="false">J8/J7-1</f>
        <v>0.0864966353124883</v>
      </c>
      <c r="K30" s="15" t="n">
        <f aca="false">K8/K7-1</f>
        <v>0.130591615887832</v>
      </c>
      <c r="L30" s="15" t="n">
        <f aca="false">L8/L7-1</f>
        <v>0.0235433203850701</v>
      </c>
      <c r="M30" s="15" t="n">
        <f aca="false">M8/M7-1</f>
        <v>0.0422149933461482</v>
      </c>
      <c r="N30" s="15" t="n">
        <f aca="false">N8/N7-1</f>
        <v>0.063701669131629</v>
      </c>
      <c r="O30" s="15" t="n">
        <f aca="false">O8/O7-1</f>
        <v>0.129994289909454</v>
      </c>
    </row>
    <row r="31" customFormat="false" ht="15.75" hidden="false" customHeight="true" outlineLevel="0" collapsed="false">
      <c r="A31" s="10" t="n">
        <v>4</v>
      </c>
      <c r="B31" s="11" t="s">
        <v>8</v>
      </c>
      <c r="C31" s="12" t="n">
        <v>80165</v>
      </c>
      <c r="D31" s="14" t="n">
        <f aca="false">C31/9000</f>
        <v>8.90722222222222</v>
      </c>
      <c r="E31" s="14" t="n">
        <v>53.38</v>
      </c>
      <c r="H31" s="8" t="n">
        <v>7</v>
      </c>
      <c r="I31" s="16" t="n">
        <f aca="false">I9/I8-1</f>
        <v>0.0623040752351096</v>
      </c>
      <c r="J31" s="16" t="n">
        <f aca="false">J9/J8-1</f>
        <v>0.0793368350813557</v>
      </c>
      <c r="K31" s="16" t="n">
        <f aca="false">K9/K8-1</f>
        <v>-0.0654956107936623</v>
      </c>
      <c r="L31" s="16" t="n">
        <f aca="false">L9/L8-1</f>
        <v>0.0681803181308165</v>
      </c>
      <c r="M31" s="16" t="n">
        <f aca="false">M9/M8-1</f>
        <v>0.0553309214726538</v>
      </c>
      <c r="N31" s="16" t="n">
        <f aca="false">N9/N8-1</f>
        <v>0.0791041811500646</v>
      </c>
      <c r="O31" s="16" t="n">
        <f aca="false">O9/O8-1</f>
        <v>-0.0614613863101512</v>
      </c>
    </row>
    <row r="32" customFormat="false" ht="15.75" hidden="false" customHeight="true" outlineLevel="0" collapsed="false">
      <c r="A32" s="10" t="n">
        <v>4</v>
      </c>
      <c r="B32" s="11" t="s">
        <v>9</v>
      </c>
      <c r="C32" s="12" t="n">
        <v>50742</v>
      </c>
      <c r="D32" s="14" t="n">
        <f aca="false">C32/9000</f>
        <v>5.638</v>
      </c>
      <c r="E32" s="14" t="n">
        <v>51.58</v>
      </c>
      <c r="H32" s="8" t="n">
        <v>8</v>
      </c>
      <c r="I32" s="15" t="n">
        <f aca="false">I10/I9-1</f>
        <v>0.0732537473592434</v>
      </c>
      <c r="J32" s="15" t="n">
        <f aca="false">J10/J9-1</f>
        <v>0.00930505357935441</v>
      </c>
      <c r="K32" s="15" t="n">
        <f aca="false">K10/K9-1</f>
        <v>0.0933482500217</v>
      </c>
      <c r="L32" s="15" t="n">
        <f aca="false">L10/L9-1</f>
        <v>0.0448745674740485</v>
      </c>
      <c r="M32" s="15" t="n">
        <f aca="false">M10/M9-1</f>
        <v>0.0474221953350811</v>
      </c>
      <c r="N32" s="15" t="n">
        <f aca="false">N10/N9-1</f>
        <v>0.0595462703050942</v>
      </c>
      <c r="O32" s="15" t="n">
        <f aca="false">O10/O9-1</f>
        <v>0.0224133156939359</v>
      </c>
    </row>
    <row r="33" customFormat="false" ht="15.75" hidden="false" customHeight="true" outlineLevel="0" collapsed="false">
      <c r="A33" s="10" t="n">
        <v>4</v>
      </c>
      <c r="B33" s="11" t="s">
        <v>10</v>
      </c>
      <c r="C33" s="12" t="n">
        <v>24222</v>
      </c>
      <c r="D33" s="14" t="n">
        <f aca="false">C33/9000</f>
        <v>2.69133333333333</v>
      </c>
      <c r="E33" s="14" t="n">
        <v>146.44</v>
      </c>
    </row>
    <row r="34" customFormat="false" ht="15.75" hidden="false" customHeight="true" outlineLevel="0" collapsed="false">
      <c r="A34" s="10" t="n">
        <v>4</v>
      </c>
      <c r="B34" s="11" t="s">
        <v>11</v>
      </c>
      <c r="C34" s="12" t="n">
        <v>17121</v>
      </c>
      <c r="D34" s="14" t="n">
        <f aca="false">C34/9000</f>
        <v>1.90233333333333</v>
      </c>
      <c r="E34" s="14" t="n">
        <v>176.14</v>
      </c>
      <c r="H34" s="2" t="s">
        <v>20</v>
      </c>
    </row>
    <row r="35" customFormat="false" ht="15.75" hidden="false" customHeight="true" outlineLevel="0" collapsed="false">
      <c r="A35" s="10" t="n">
        <v>4</v>
      </c>
      <c r="B35" s="11" t="s">
        <v>12</v>
      </c>
      <c r="C35" s="12" t="n">
        <v>59746</v>
      </c>
      <c r="D35" s="14" t="n">
        <f aca="false">C35/9000</f>
        <v>6.63844444444445</v>
      </c>
      <c r="E35" s="14" t="n">
        <v>11.74</v>
      </c>
      <c r="H35" s="18" t="s">
        <v>21</v>
      </c>
    </row>
    <row r="36" customFormat="false" ht="15.75" hidden="false" customHeight="true" outlineLevel="0" collapsed="false">
      <c r="A36" s="5" t="n">
        <v>5</v>
      </c>
      <c r="B36" s="6" t="s">
        <v>6</v>
      </c>
      <c r="C36" s="7" t="n">
        <v>50830</v>
      </c>
      <c r="D36" s="17" t="n">
        <f aca="false">C36/9000</f>
        <v>5.64777777777778</v>
      </c>
      <c r="E36" s="17" t="n">
        <v>51.53</v>
      </c>
      <c r="H36" s="4" t="s">
        <v>5</v>
      </c>
      <c r="I36" s="4" t="s">
        <v>6</v>
      </c>
      <c r="J36" s="4" t="s">
        <v>7</v>
      </c>
      <c r="K36" s="4" t="s">
        <v>8</v>
      </c>
      <c r="L36" s="4" t="s">
        <v>9</v>
      </c>
      <c r="M36" s="4" t="s">
        <v>10</v>
      </c>
      <c r="N36" s="4" t="s">
        <v>11</v>
      </c>
      <c r="O36" s="4" t="s">
        <v>12</v>
      </c>
    </row>
    <row r="37" customFormat="false" ht="15.75" hidden="false" customHeight="true" outlineLevel="0" collapsed="false">
      <c r="A37" s="5" t="n">
        <v>5</v>
      </c>
      <c r="B37" s="6" t="s">
        <v>7</v>
      </c>
      <c r="C37" s="7" t="n">
        <v>53794</v>
      </c>
      <c r="D37" s="17" t="n">
        <f aca="false">C37/9000</f>
        <v>5.97711111111111</v>
      </c>
      <c r="E37" s="17" t="n">
        <v>30.11</v>
      </c>
      <c r="H37" s="8" t="n">
        <v>2</v>
      </c>
      <c r="I37" s="15" t="n">
        <f aca="false">I4/(I$4*$H37/2)</f>
        <v>1</v>
      </c>
      <c r="J37" s="15" t="n">
        <f aca="false">J4/(J$4*$H37/2)</f>
        <v>1</v>
      </c>
      <c r="K37" s="15" t="n">
        <f aca="false">K4/(K$4*$H37/2)</f>
        <v>1</v>
      </c>
      <c r="L37" s="15" t="n">
        <f aca="false">L4/(L$4*$H37/2)</f>
        <v>1</v>
      </c>
      <c r="M37" s="15" t="n">
        <f aca="false">M4/(M$4*$H37/2)</f>
        <v>1</v>
      </c>
      <c r="N37" s="15" t="n">
        <f aca="false">N4/(N$4*$H37/2)</f>
        <v>1</v>
      </c>
      <c r="O37" s="15" t="n">
        <f aca="false">O4/(O$4*$H37/2)</f>
        <v>1</v>
      </c>
    </row>
    <row r="38" customFormat="false" ht="15.75" hidden="false" customHeight="true" outlineLevel="0" collapsed="false">
      <c r="A38" s="5" t="n">
        <v>5</v>
      </c>
      <c r="B38" s="6" t="s">
        <v>8</v>
      </c>
      <c r="C38" s="7" t="n">
        <v>98138</v>
      </c>
      <c r="D38" s="17" t="n">
        <f aca="false">C38/9000</f>
        <v>10.9042222222222</v>
      </c>
      <c r="E38" s="17" t="n">
        <v>43.61</v>
      </c>
      <c r="H38" s="8" t="n">
        <v>3</v>
      </c>
      <c r="I38" s="16" t="n">
        <f aca="false">I5/(I$4*$H38/2)</f>
        <v>0.815861229335829</v>
      </c>
      <c r="J38" s="16" t="n">
        <f aca="false">J5/(J$4*$H38/2)</f>
        <v>0.837982291603639</v>
      </c>
      <c r="K38" s="16" t="n">
        <f aca="false">K5/(K$4*$H38/2)</f>
        <v>0.857258977946565</v>
      </c>
      <c r="L38" s="16" t="n">
        <f aca="false">L5/(L$4*$H38/2)</f>
        <v>0.812255123568415</v>
      </c>
      <c r="M38" s="16" t="n">
        <f aca="false">M5/(M$4*$H38/2)</f>
        <v>0.82802018403087</v>
      </c>
      <c r="N38" s="16" t="n">
        <f aca="false">N5/(N$4*$H38/2)</f>
        <v>0.826617622471159</v>
      </c>
      <c r="O38" s="16" t="n">
        <f aca="false">O5/(O$4*$H38/2)</f>
        <v>0.916934783119232</v>
      </c>
    </row>
    <row r="39" customFormat="false" ht="15.75" hidden="false" customHeight="true" outlineLevel="0" collapsed="false">
      <c r="A39" s="5" t="n">
        <v>5</v>
      </c>
      <c r="B39" s="6" t="s">
        <v>9</v>
      </c>
      <c r="C39" s="7" t="n">
        <v>59210</v>
      </c>
      <c r="D39" s="17" t="n">
        <f aca="false">C39/9000</f>
        <v>6.57888888888889</v>
      </c>
      <c r="E39" s="17" t="n">
        <v>44.21</v>
      </c>
      <c r="H39" s="8" t="n">
        <v>4</v>
      </c>
      <c r="I39" s="15" t="n">
        <f aca="false">I6/(I$4*$H39/2)</f>
        <v>0.705575175827825</v>
      </c>
      <c r="J39" s="15" t="n">
        <f aca="false">J6/(J$4*$H39/2)</f>
        <v>0.728187208809826</v>
      </c>
      <c r="K39" s="15" t="n">
        <f aca="false">K6/(K$4*$H39/2)</f>
        <v>0.801169298420947</v>
      </c>
      <c r="L39" s="15" t="n">
        <f aca="false">L6/(L$4*$H39/2)</f>
        <v>0.71685691681736</v>
      </c>
      <c r="M39" s="15" t="n">
        <f aca="false">M6/(M$4*$H39/2)</f>
        <v>0.718967052537845</v>
      </c>
      <c r="N39" s="15" t="n">
        <f aca="false">N6/(N$4*$H39/2)</f>
        <v>0.715641197124227</v>
      </c>
      <c r="O39" s="15" t="n">
        <f aca="false">O6/(O$4*$H39/2)</f>
        <v>0.701557032479275</v>
      </c>
    </row>
    <row r="40" customFormat="false" ht="15.75" hidden="false" customHeight="true" outlineLevel="0" collapsed="false">
      <c r="A40" s="5" t="n">
        <v>5</v>
      </c>
      <c r="B40" s="6" t="s">
        <v>10</v>
      </c>
      <c r="C40" s="7" t="n">
        <v>27052</v>
      </c>
      <c r="D40" s="17" t="n">
        <f aca="false">C40/9000</f>
        <v>3.00577777777778</v>
      </c>
      <c r="E40" s="17" t="n">
        <v>131.12</v>
      </c>
      <c r="H40" s="8" t="n">
        <v>5</v>
      </c>
      <c r="I40" s="16" t="n">
        <f aca="false">I7/(I$4*$H40/2)</f>
        <v>0.613722116574602</v>
      </c>
      <c r="J40" s="16" t="n">
        <f aca="false">J7/(J$4*$H40/2)</f>
        <v>0.650983239547407</v>
      </c>
      <c r="K40" s="16" t="n">
        <f aca="false">K7/(K$4*$H40/2)</f>
        <v>0.784633220067959</v>
      </c>
      <c r="L40" s="16" t="n">
        <f aca="false">L7/(L$4*$H40/2)</f>
        <v>0.669190777576854</v>
      </c>
      <c r="M40" s="16" t="n">
        <f aca="false">M7/(M$4*$H40/2)</f>
        <v>0.642374591867023</v>
      </c>
      <c r="N40" s="16" t="n">
        <f aca="false">N7/(N$4*$H40/2)</f>
        <v>0.633071392743688</v>
      </c>
      <c r="O40" s="16" t="n">
        <f aca="false">O7/(O$4*$H40/2)</f>
        <v>0.575796716845542</v>
      </c>
    </row>
    <row r="41" customFormat="false" ht="15.75" hidden="false" customHeight="true" outlineLevel="0" collapsed="false">
      <c r="A41" s="5" t="n">
        <v>5</v>
      </c>
      <c r="B41" s="6" t="s">
        <v>11</v>
      </c>
      <c r="C41" s="7" t="n">
        <v>18932</v>
      </c>
      <c r="D41" s="17" t="n">
        <f aca="false">C41/9000</f>
        <v>2.10355555555556</v>
      </c>
      <c r="E41" s="17" t="n">
        <v>159.29</v>
      </c>
      <c r="H41" s="8" t="n">
        <v>6</v>
      </c>
      <c r="I41" s="15" t="n">
        <f aca="false">I8/(I$4*$H41/2)</f>
        <v>0.564902854498073</v>
      </c>
      <c r="J41" s="15" t="n">
        <f aca="false">J8/(J$4*$H41/2)</f>
        <v>0.589409249510901</v>
      </c>
      <c r="K41" s="15" t="n">
        <f aca="false">K8/(K$4*$H41/2)</f>
        <v>0.739249783463255</v>
      </c>
      <c r="L41" s="15" t="n">
        <f aca="false">L8/(L$4*$H41/2)</f>
        <v>0.570788125376733</v>
      </c>
      <c r="M41" s="15" t="n">
        <f aca="false">M8/(M$4*$H41/2)</f>
        <v>0.55791035915702</v>
      </c>
      <c r="N41" s="15" t="n">
        <f aca="false">N8/(N$4*$H41/2)</f>
        <v>0.561165914284122</v>
      </c>
      <c r="O41" s="15" t="n">
        <f aca="false">O8/(O$4*$H41/2)</f>
        <v>0.542205835153394</v>
      </c>
    </row>
    <row r="42" customFormat="false" ht="15.75" hidden="false" customHeight="true" outlineLevel="0" collapsed="false">
      <c r="A42" s="5" t="n">
        <v>5</v>
      </c>
      <c r="B42" s="6" t="s">
        <v>12</v>
      </c>
      <c r="C42" s="7" t="n">
        <v>61295</v>
      </c>
      <c r="D42" s="17" t="n">
        <f aca="false">C42/9000</f>
        <v>6.81055555555556</v>
      </c>
      <c r="E42" s="17" t="n">
        <v>11.45</v>
      </c>
      <c r="H42" s="8" t="n">
        <v>7</v>
      </c>
      <c r="I42" s="16" t="n">
        <f aca="false">I9/(I$4*$H42/2)</f>
        <v>0.514370232381642</v>
      </c>
      <c r="J42" s="16" t="n">
        <f aca="false">J9/(J$4*$H42/2)</f>
        <v>0.545289526229806</v>
      </c>
      <c r="K42" s="16" t="n">
        <f aca="false">K9/(K$4*$H42/2)</f>
        <v>0.592141857742497</v>
      </c>
      <c r="L42" s="16" t="n">
        <f aca="false">L9/(L$4*$H42/2)</f>
        <v>0.522603978300181</v>
      </c>
      <c r="M42" s="16" t="n">
        <f aca="false">M9/(M$4*$H42/2)</f>
        <v>0.504668617224272</v>
      </c>
      <c r="N42" s="16" t="n">
        <f aca="false">N9/(N$4*$H42/2)</f>
        <v>0.519048415219624</v>
      </c>
      <c r="O42" s="16" t="n">
        <f aca="false">O9/(O$4*$H42/2)</f>
        <v>0.436183811022354</v>
      </c>
    </row>
    <row r="43" customFormat="false" ht="15.75" hidden="false" customHeight="true" outlineLevel="0" collapsed="false">
      <c r="A43" s="10" t="n">
        <v>6</v>
      </c>
      <c r="B43" s="11" t="s">
        <v>6</v>
      </c>
      <c r="C43" s="12" t="n">
        <v>56144</v>
      </c>
      <c r="D43" s="14" t="n">
        <f aca="false">C43/9000</f>
        <v>6.23822222222222</v>
      </c>
      <c r="E43" s="14" t="n">
        <v>46.65</v>
      </c>
      <c r="H43" s="8" t="n">
        <v>8</v>
      </c>
      <c r="I43" s="15" t="n">
        <f aca="false">I10/(I$4*$H43/2)</f>
        <v>0.483043557004437</v>
      </c>
      <c r="J43" s="15" t="n">
        <f aca="false">J10/(J$4*$H43/2)</f>
        <v>0.481568040176681</v>
      </c>
      <c r="K43" s="15" t="n">
        <f aca="false">K10/(K$4*$H43/2)</f>
        <v>0.566490105936438</v>
      </c>
      <c r="L43" s="15" t="n">
        <f aca="false">L10/(L$4*$H43/2)</f>
        <v>0.477798655063291</v>
      </c>
      <c r="M43" s="15" t="n">
        <f aca="false">M10/(M$4*$H43/2)</f>
        <v>0.462525972098546</v>
      </c>
      <c r="N43" s="15" t="n">
        <f aca="false">N10/(N$4*$H43/2)</f>
        <v>0.481211335897007</v>
      </c>
      <c r="O43" s="15" t="n">
        <f aca="false">O10/(O$4*$H43/2)</f>
        <v>0.390215119419459</v>
      </c>
    </row>
    <row r="44" customFormat="false" ht="15.75" hidden="false" customHeight="true" outlineLevel="0" collapsed="false">
      <c r="A44" s="10" t="n">
        <v>6</v>
      </c>
      <c r="B44" s="11" t="s">
        <v>7</v>
      </c>
      <c r="C44" s="12" t="n">
        <v>58447</v>
      </c>
      <c r="D44" s="14" t="n">
        <f aca="false">C44/9000</f>
        <v>6.49411111111111</v>
      </c>
      <c r="E44" s="14" t="n">
        <v>27.71</v>
      </c>
    </row>
    <row r="45" customFormat="false" ht="15.75" hidden="false" customHeight="true" outlineLevel="0" collapsed="false">
      <c r="A45" s="10" t="n">
        <v>6</v>
      </c>
      <c r="B45" s="11" t="s">
        <v>8</v>
      </c>
      <c r="C45" s="12" t="n">
        <v>110954</v>
      </c>
      <c r="D45" s="14" t="n">
        <f aca="false">C45/9000</f>
        <v>12.3282222222222</v>
      </c>
      <c r="E45" s="14" t="n">
        <v>38.57</v>
      </c>
    </row>
    <row r="46" customFormat="false" ht="15.75" hidden="false" customHeight="true" outlineLevel="0" collapsed="false">
      <c r="A46" s="10" t="n">
        <v>6</v>
      </c>
      <c r="B46" s="11" t="s">
        <v>9</v>
      </c>
      <c r="C46" s="12" t="n">
        <v>60604</v>
      </c>
      <c r="D46" s="14" t="n">
        <f aca="false">C46/9000</f>
        <v>6.73377777777778</v>
      </c>
      <c r="E46" s="14" t="n">
        <v>43.19</v>
      </c>
    </row>
    <row r="47" customFormat="false" ht="15.75" hidden="false" customHeight="true" outlineLevel="0" collapsed="false">
      <c r="A47" s="10" t="n">
        <v>6</v>
      </c>
      <c r="B47" s="11" t="s">
        <v>10</v>
      </c>
      <c r="C47" s="12" t="n">
        <v>28194</v>
      </c>
      <c r="D47" s="14" t="n">
        <f aca="false">C47/9000</f>
        <v>3.13266666666667</v>
      </c>
      <c r="E47" s="14" t="n">
        <v>125.81</v>
      </c>
    </row>
    <row r="48" customFormat="false" ht="15.75" hidden="false" customHeight="true" outlineLevel="0" collapsed="false">
      <c r="A48" s="10" t="n">
        <v>6</v>
      </c>
      <c r="B48" s="11" t="s">
        <v>11</v>
      </c>
      <c r="C48" s="12" t="n">
        <v>20138</v>
      </c>
      <c r="D48" s="14" t="n">
        <f aca="false">C48/9000</f>
        <v>2.23755555555556</v>
      </c>
      <c r="E48" s="14" t="n">
        <v>149.75</v>
      </c>
    </row>
    <row r="49" customFormat="false" ht="15.75" hidden="false" customHeight="true" outlineLevel="0" collapsed="false">
      <c r="A49" s="10" t="n">
        <v>6</v>
      </c>
      <c r="B49" s="11" t="s">
        <v>12</v>
      </c>
      <c r="C49" s="12" t="n">
        <v>69263</v>
      </c>
      <c r="D49" s="14" t="n">
        <f aca="false">C49/9000</f>
        <v>7.69588888888889</v>
      </c>
      <c r="E49" s="14" t="n">
        <v>10.13</v>
      </c>
    </row>
    <row r="50" customFormat="false" ht="15.75" hidden="false" customHeight="true" outlineLevel="0" collapsed="false">
      <c r="A50" s="5" t="n">
        <v>7</v>
      </c>
      <c r="B50" s="6" t="s">
        <v>6</v>
      </c>
      <c r="C50" s="7" t="n">
        <v>59642</v>
      </c>
      <c r="D50" s="17" t="n">
        <f aca="false">C50/9000</f>
        <v>6.62688888888889</v>
      </c>
      <c r="E50" s="17" t="n">
        <v>43.91</v>
      </c>
    </row>
    <row r="51" customFormat="false" ht="15.75" hidden="false" customHeight="true" outlineLevel="0" collapsed="false">
      <c r="A51" s="5" t="n">
        <v>7</v>
      </c>
      <c r="B51" s="6" t="s">
        <v>7</v>
      </c>
      <c r="C51" s="7" t="n">
        <v>63084</v>
      </c>
      <c r="D51" s="17" t="n">
        <f aca="false">C51/9000</f>
        <v>7.00933333333333</v>
      </c>
      <c r="E51" s="17" t="n">
        <v>25.67</v>
      </c>
    </row>
    <row r="52" customFormat="false" ht="15.75" hidden="false" customHeight="true" outlineLevel="0" collapsed="false">
      <c r="A52" s="5" t="n">
        <v>7</v>
      </c>
      <c r="B52" s="6" t="s">
        <v>8</v>
      </c>
      <c r="C52" s="7" t="n">
        <v>103687</v>
      </c>
      <c r="D52" s="17" t="n">
        <f aca="false">C52/9000</f>
        <v>11.5207777777778</v>
      </c>
      <c r="E52" s="17" t="n">
        <v>41.27</v>
      </c>
    </row>
    <row r="53" customFormat="false" ht="15.75" hidden="false" customHeight="true" outlineLevel="0" collapsed="false">
      <c r="A53" s="5" t="n">
        <v>7</v>
      </c>
      <c r="B53" s="6" t="s">
        <v>9</v>
      </c>
      <c r="C53" s="7" t="n">
        <v>64736</v>
      </c>
      <c r="D53" s="17" t="n">
        <f aca="false">C53/9000</f>
        <v>7.19288888888889</v>
      </c>
      <c r="E53" s="17" t="n">
        <v>40.43</v>
      </c>
    </row>
    <row r="54" customFormat="false" ht="15.75" hidden="false" customHeight="true" outlineLevel="0" collapsed="false">
      <c r="A54" s="5" t="n">
        <v>7</v>
      </c>
      <c r="B54" s="6" t="s">
        <v>10</v>
      </c>
      <c r="C54" s="7" t="n">
        <v>29754</v>
      </c>
      <c r="D54" s="17" t="n">
        <f aca="false">C54/9000</f>
        <v>3.306</v>
      </c>
      <c r="E54" s="17" t="n">
        <v>119.21</v>
      </c>
    </row>
    <row r="55" customFormat="false" ht="15.75" hidden="false" customHeight="true" outlineLevel="0" collapsed="false">
      <c r="A55" s="5" t="n">
        <v>7</v>
      </c>
      <c r="B55" s="6" t="s">
        <v>11</v>
      </c>
      <c r="C55" s="7" t="n">
        <v>21731</v>
      </c>
      <c r="D55" s="17" t="n">
        <f aca="false">C55/9000</f>
        <v>2.41455555555556</v>
      </c>
      <c r="E55" s="17" t="n">
        <v>138.77</v>
      </c>
    </row>
    <row r="56" customFormat="false" ht="15.75" hidden="false" customHeight="true" outlineLevel="0" collapsed="false">
      <c r="A56" s="5" t="n">
        <v>7</v>
      </c>
      <c r="B56" s="6" t="s">
        <v>12</v>
      </c>
      <c r="C56" s="7" t="n">
        <v>65006</v>
      </c>
      <c r="D56" s="17" t="n">
        <f aca="false">C56/9000</f>
        <v>7.22288888888889</v>
      </c>
      <c r="E56" s="17" t="n">
        <v>10.79</v>
      </c>
    </row>
    <row r="57" customFormat="false" ht="15.75" hidden="false" customHeight="true" outlineLevel="0" collapsed="false">
      <c r="A57" s="10" t="n">
        <v>8</v>
      </c>
      <c r="B57" s="11" t="s">
        <v>6</v>
      </c>
      <c r="C57" s="12" t="n">
        <v>64011</v>
      </c>
      <c r="D57" s="14" t="n">
        <f aca="false">C57/9000</f>
        <v>7.11233333333333</v>
      </c>
      <c r="E57" s="14" t="n">
        <v>40.92</v>
      </c>
    </row>
    <row r="58" customFormat="false" ht="15.75" hidden="false" customHeight="true" outlineLevel="0" collapsed="false">
      <c r="A58" s="10" t="n">
        <v>8</v>
      </c>
      <c r="B58" s="11" t="s">
        <v>7</v>
      </c>
      <c r="C58" s="12" t="n">
        <v>63671</v>
      </c>
      <c r="D58" s="14" t="n">
        <f aca="false">C58/9000</f>
        <v>7.07455555555556</v>
      </c>
      <c r="E58" s="14" t="n">
        <v>25.44</v>
      </c>
    </row>
    <row r="59" customFormat="false" ht="15.75" hidden="false" customHeight="true" outlineLevel="0" collapsed="false">
      <c r="A59" s="10" t="n">
        <v>8</v>
      </c>
      <c r="B59" s="11" t="s">
        <v>8</v>
      </c>
      <c r="C59" s="12" t="n">
        <v>113366</v>
      </c>
      <c r="D59" s="14" t="n">
        <f aca="false">C59/9000</f>
        <v>12.5962222222222</v>
      </c>
      <c r="E59" s="14" t="n">
        <v>37.83</v>
      </c>
    </row>
    <row r="60" customFormat="false" ht="15.75" hidden="false" customHeight="true" outlineLevel="0" collapsed="false">
      <c r="A60" s="10" t="n">
        <v>8</v>
      </c>
      <c r="B60" s="11" t="s">
        <v>9</v>
      </c>
      <c r="C60" s="12" t="n">
        <v>67641</v>
      </c>
      <c r="D60" s="14" t="n">
        <f aca="false">C60/9000</f>
        <v>7.51566666666667</v>
      </c>
      <c r="E60" s="14" t="n">
        <v>38.7</v>
      </c>
    </row>
    <row r="61" customFormat="false" ht="15.75" hidden="false" customHeight="true" outlineLevel="0" collapsed="false">
      <c r="A61" s="10" t="n">
        <v>8</v>
      </c>
      <c r="B61" s="11" t="s">
        <v>10</v>
      </c>
      <c r="C61" s="12" t="n">
        <v>31165</v>
      </c>
      <c r="D61" s="14" t="n">
        <f aca="false">C61/9000</f>
        <v>3.46277777777778</v>
      </c>
      <c r="E61" s="14" t="n">
        <v>113.82</v>
      </c>
    </row>
    <row r="62" customFormat="false" ht="15.75" hidden="false" customHeight="true" outlineLevel="0" collapsed="false">
      <c r="A62" s="10" t="n">
        <v>8</v>
      </c>
      <c r="B62" s="11" t="s">
        <v>11</v>
      </c>
      <c r="C62" s="12" t="n">
        <v>23025</v>
      </c>
      <c r="D62" s="14" t="n">
        <f aca="false">C62/9000</f>
        <v>2.55833333333333</v>
      </c>
      <c r="E62" s="14" t="n">
        <v>130.98</v>
      </c>
    </row>
    <row r="63" customFormat="false" ht="15.75" hidden="false" customHeight="true" outlineLevel="0" collapsed="false">
      <c r="A63" s="10" t="n">
        <v>8</v>
      </c>
      <c r="B63" s="11" t="s">
        <v>12</v>
      </c>
      <c r="C63" s="12" t="n">
        <v>66463</v>
      </c>
      <c r="D63" s="14" t="n">
        <f aca="false">C63/9000</f>
        <v>7.38477777777778</v>
      </c>
      <c r="E63" s="14" t="n">
        <v>10.56</v>
      </c>
    </row>
    <row r="64" customFormat="false" ht="15.75" hidden="false" customHeight="true" outlineLevel="0" collapsed="false"/>
    <row r="65" customFormat="false" ht="15.75" hidden="false" customHeight="true" outlineLevel="0" collapsed="false">
      <c r="A65" s="18" t="s">
        <v>22</v>
      </c>
    </row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2026-10-18T18:31:58Z</dcterms:created>
  <dc:creator>openpyxl</dc:creator>
  <dc:description/>
  <dc:language>en-US</dc:language>
  <cp:lastModifiedBy/>
  <dcterms:modified xsi:type="dcterms:W3CDTF">2026-10-18T20:32:07Z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