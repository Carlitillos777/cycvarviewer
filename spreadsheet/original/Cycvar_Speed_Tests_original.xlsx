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<sst xmlns="http://schemas.openxmlformats.org/spreadsheetml/2006/main" count="78" uniqueCount="15">
  <si>
    <t>Slice Count</t>
  </si>
  <si>
    <t>Test Name</t>
  </si>
  <si>
    <t>Speed (items/h)</t>
  </si>
  <si>
    <t>Hopper Multiplier (x)</t>
  </si>
  <si>
    <t>Items Count</t>
  </si>
  <si>
    <t>Time (min)</t>
  </si>
  <si>
    <t>Wave1</t>
  </si>
  <si>
    <t>Wave5</t>
  </si>
  <si>
    <t>Quarry</t>
  </si>
  <si>
    <t>SciCraftMooshroom</t>
  </si>
  <si>
    <t>Hermit1</t>
  </si>
  <si>
    <t>Hermit2</t>
  </si>
  <si>
    <t>EasyTest</t>
  </si>
  <si>
    <t>Slices</t>
  </si>
  <si>
    <t>% 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</si>
</sst>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D16"/>
      <name val="Roboto"/>
    </font>
    <font>
      <color theme="1"/>
      <name val="Arial"/>
      <scheme val="minor"/>
    </font>
    <font>
      <sz val="10.0"/>
      <color rgb="FF1A1B20"/>
      <name val="Roboto"/>
    </font>
    <font/>
    <font>
      <sz val="10.0"/>
      <color rgb="FF181C1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A6939"/>
        <bgColor rgb="FF3A6939"/>
      </patternFill>
    </fill>
    <fill>
      <patternFill patternType="solid">
        <fgColor rgb="FF425D90"/>
        <bgColor rgb="FF425D90"/>
      </patternFill>
    </fill>
    <fill>
      <patternFill patternType="solid">
        <fgColor rgb="FF3B5F90"/>
        <bgColor rgb="FF3B5F90"/>
      </patternFill>
    </fill>
  </fills>
  <borders count="7">
    <border/>
    <border>
      <left style="thin">
        <color rgb="FF71796E"/>
      </left>
      <right style="thin">
        <color rgb="FF71796E"/>
      </right>
      <top style="thin">
        <color rgb="FF71796E"/>
      </top>
      <bottom style="thin">
        <color rgb="FF71796E"/>
      </bottom>
    </border>
    <border>
      <bottom style="thin">
        <color rgb="FF73777E"/>
      </bottom>
    </border>
    <border>
      <left style="thin">
        <color rgb="FF74777E"/>
      </left>
      <top style="thin">
        <color rgb="FF74777E"/>
      </top>
      <bottom style="thin">
        <color rgb="FF74777E"/>
      </bottom>
    </border>
    <border>
      <top style="thin">
        <color rgb="FF74777E"/>
      </top>
      <bottom style="thin">
        <color rgb="FF74777E"/>
      </bottom>
    </border>
    <border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2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2" fillId="3" fontId="1" numFmtId="0" xfId="0" applyAlignment="1" applyBorder="1" applyFill="1" applyFont="1">
      <alignment readingOrder="0"/>
    </xf>
    <xf borderId="0" fillId="3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3" fillId="4" fontId="1" numFmtId="0" xfId="0" applyAlignment="1" applyBorder="1" applyFill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0" fillId="0" fontId="4" numFmtId="10" xfId="0" applyFont="1" applyNumberFormat="1"/>
    <xf borderId="6" fillId="4" fontId="1" numFmtId="0" xfId="0" applyAlignment="1" applyBorder="1" applyFill="1" applyFont="1">
      <alignment horizontal="center" readingOrder="0"/>
    </xf>
    <xf borderId="6" fillId="0" fontId="6" numFmtId="1" xfId="0" applyAlignment="1" applyBorder="1" applyFont="1" applyNumberFormat="1">
      <alignment horizontal="center" readingOrder="0"/>
    </xf>
    <xf borderId="6" fillId="0" fontId="6" numFmtId="3" xfId="0" applyAlignment="1" applyBorder="1" applyFont="1" applyNumberFormat="1">
      <alignment horizontal="center" readingOrder="0"/>
    </xf>
    <xf borderId="6" fillId="0" fontId="6" numFmtId="10" xfId="0" applyAlignment="1" applyBorder="1" applyFont="1" applyNumberFormat="1">
      <alignment horizontal="center" readingOrder="0"/>
    </xf>
    <xf borderId="6" fillId="0" fontId="6" numFmtId="10" xfId="0" applyAlignment="1" applyBorder="1" applyFont="1" applyNumberFormat="1">
      <alignment horizontal="center"/>
    </xf>
    <xf borderId="0" fillId="0" fontId="4" numFmtId="0" xfId="0" applyFont="1"/>
    <xf borderId="6" fillId="0" fontId="6" numFmtId="3" xfId="0" applyAlignment="1" applyBorder="1" applyFont="1" applyNumberFormat="1">
      <alignment horizontal="center"/>
    </xf>
    <xf borderId="6" fillId="0" fontId="6" numFmtId="1" xfId="0" applyAlignment="1" applyBorder="1" applyFont="1" applyNumberFormat="1">
      <alignment horizontal="center"/>
    </xf>
    <xf borderId="0" fillId="0" fontId="3" numFmtId="1" xfId="0" applyFont="1" applyNumberFormat="1"/>
    <xf borderId="0" fillId="0" fontId="3" numFmtId="3" xfId="0" applyFont="1" applyNumberFormat="1"/>
    <xf borderId="0" fillId="0" fontId="3" numFmtId="10" xfId="0" applyFont="1" applyNumberFormat="1"/>
    <xf borderId="3" fillId="4" fontId="1" numFmtId="1" xfId="0" applyAlignment="1" applyBorder="1" applyFill="1" applyFont="1" applyNumberFormat="1">
      <alignment horizontal="center" readingOrder="0"/>
    </xf>
    <xf borderId="6" fillId="4" fontId="1" numFmtId="1" xfId="0" applyAlignment="1" applyBorder="1" applyFill="1" applyFont="1" applyNumberFormat="1">
      <alignment horizontal="center" readingOrder="0"/>
    </xf>
    <xf borderId="6" fillId="4" fontId="1" numFmtId="3" xfId="0" applyAlignment="1" applyBorder="1" applyFill="1" applyFont="1" applyNumberFormat="1">
      <alignment horizontal="center" readingOrder="0"/>
    </xf>
    <xf borderId="6" fillId="4" fontId="1" numFmtId="10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A6939"/>
          <bgColor rgb="FF3A693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AF0"/>
          <bgColor rgb="FFF7FAF0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</dxfs>
  <tableStyles count="8">
    <tableStyle count="3" pivot="0" name="Hoja 1-style">
      <tableStyleElement dxfId="1" type="headerRow"/>
      <tableStyleElement dxfId="2" type="firstRowStripe"/>
      <tableStyleElement dxfId="3" type="secondRowStripe"/>
    </tableStyle>
    <tableStyle count="2" pivot="0" name="Dashboard-style">
      <tableStyleElement dxfId="4" type="firstRowStripe"/>
      <tableStyleElement dxfId="2" type="secondRowStripe"/>
    </tableStyle>
    <tableStyle count="2" pivot="0" name="Dashboard-style 2">
      <tableStyleElement dxfId="4" type="firstRowStripe"/>
      <tableStyleElement dxfId="2" type="secondRowStripe"/>
    </tableStyle>
    <tableStyle count="2" pivot="0" name="Dashboard-style 3">
      <tableStyleElement dxfId="4" type="firstRowStripe"/>
      <tableStyleElement dxfId="2" type="secondRowStripe"/>
    </tableStyle>
    <tableStyle count="2" pivot="0" name="Dashboard-style 4">
      <tableStyleElement dxfId="4" type="firstRowStripe"/>
      <tableStyleElement dxfId="2" type="secondRowStripe"/>
    </tableStyle>
    <tableStyle count="2" pivot="0" name="Dashboard-style 5">
      <tableStyleElement dxfId="4" type="firstRowStripe"/>
      <tableStyleElement dxfId="2" type="secondRowStripe"/>
    </tableStyle>
    <tableStyle count="2" pivot="0" name="Dashboard-style 6">
      <tableStyleElement dxfId="4" type="firstRowStripe"/>
      <tableStyleElement dxfId="2" type="secondRowStripe"/>
    </tableStyle>
    <tableStyle count="2" pivot="0" name="Dashboard-style 7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Wave1 Speed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Dashboard!$B$4:$B$10</c:f>
            </c:strRef>
          </c:cat>
          <c:val>
            <c:numRef>
              <c:f>Dashboard!$C$4:$C$10</c:f>
              <c:numCache/>
            </c:numRef>
          </c:val>
          <c:smooth val="0"/>
        </c:ser>
        <c:axId val="1292270148"/>
        <c:axId val="1754255941"/>
      </c:lineChart>
      <c:catAx>
        <c:axId val="1292270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4255941"/>
      </c:catAx>
      <c:valAx>
        <c:axId val="1754255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27014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Wave5 Speed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Dashboard!$K$4:$K$10</c:f>
            </c:strRef>
          </c:cat>
          <c:val>
            <c:numRef>
              <c:f>Dashboard!$L$4:$L$10</c:f>
              <c:numCache/>
            </c:numRef>
          </c:val>
          <c:smooth val="0"/>
        </c:ser>
        <c:axId val="198583245"/>
        <c:axId val="1446925124"/>
      </c:lineChart>
      <c:catAx>
        <c:axId val="198583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925124"/>
      </c:catAx>
      <c:valAx>
        <c:axId val="1446925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83245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Quarry Speed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Dashboard!$B$14:$B$20</c:f>
            </c:strRef>
          </c:cat>
          <c:val>
            <c:numRef>
              <c:f>Dashboard!$C$14:$C$20</c:f>
              <c:numCache/>
            </c:numRef>
          </c:val>
          <c:smooth val="0"/>
        </c:ser>
        <c:axId val="1242253877"/>
        <c:axId val="1598960827"/>
      </c:lineChart>
      <c:catAx>
        <c:axId val="1242253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960827"/>
      </c:catAx>
      <c:valAx>
        <c:axId val="1598960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225387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SciCraftMooshroom Speed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Dashboard!$K$14:$K$20</c:f>
            </c:strRef>
          </c:cat>
          <c:val>
            <c:numRef>
              <c:f>Dashboard!$L$14:$L$20</c:f>
              <c:numCache/>
            </c:numRef>
          </c:val>
          <c:smooth val="0"/>
        </c:ser>
        <c:axId val="1648003493"/>
        <c:axId val="1230783165"/>
      </c:lineChart>
      <c:catAx>
        <c:axId val="1648003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783165"/>
      </c:catAx>
      <c:valAx>
        <c:axId val="1230783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003493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Hermit1 Speed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Dashboard!$B$24:$B$30</c:f>
            </c:strRef>
          </c:cat>
          <c:val>
            <c:numRef>
              <c:f>Dashboard!$C$24:$C$30</c:f>
              <c:numCache/>
            </c:numRef>
          </c:val>
          <c:smooth val="0"/>
        </c:ser>
        <c:axId val="629457753"/>
        <c:axId val="1115094773"/>
      </c:lineChart>
      <c:catAx>
        <c:axId val="629457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5094773"/>
      </c:catAx>
      <c:valAx>
        <c:axId val="1115094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457753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Hermit2 Speed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Dashboard!$K$24:$K$30</c:f>
            </c:strRef>
          </c:cat>
          <c:val>
            <c:numRef>
              <c:f>Dashboard!$L$24:$L$30</c:f>
              <c:numCache/>
            </c:numRef>
          </c:val>
          <c:smooth val="0"/>
        </c:ser>
        <c:axId val="436644330"/>
        <c:axId val="319802028"/>
      </c:lineChart>
      <c:catAx>
        <c:axId val="436644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802028"/>
      </c:catAx>
      <c:valAx>
        <c:axId val="319802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644330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EasyTest Speed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Dashboard!$B$34:$B$40</c:f>
            </c:strRef>
          </c:cat>
          <c:val>
            <c:numRef>
              <c:f>Dashboard!$C$34:$C$40</c:f>
              <c:numCache/>
            </c:numRef>
          </c:val>
          <c:smooth val="0"/>
        </c:ser>
        <c:axId val="1246872041"/>
        <c:axId val="1074787936"/>
      </c:lineChart>
      <c:catAx>
        <c:axId val="1246872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787936"/>
      </c:catAx>
      <c:valAx>
        <c:axId val="1074787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872041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2857500" cy="1800225"/>
    <xdr:graphicFrame>
      <xdr:nvGraphicFramePr>
        <xdr:cNvPr id="1" name="Chart 1" title="Wave1 Spe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0</xdr:colOff>
      <xdr:row>1</xdr:row>
      <xdr:rowOff>0</xdr:rowOff>
    </xdr:from>
    <xdr:ext cx="2857500" cy="1800225"/>
    <xdr:graphicFrame>
      <xdr:nvGraphicFramePr>
        <xdr:cNvPr id="2" name="Chart 2" title="Wave5 Spe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0</xdr:colOff>
      <xdr:row>11</xdr:row>
      <xdr:rowOff>0</xdr:rowOff>
    </xdr:from>
    <xdr:ext cx="2857500" cy="1800225"/>
    <xdr:graphicFrame>
      <xdr:nvGraphicFramePr>
        <xdr:cNvPr id="3" name="Chart 3" title="Quarry Spe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0</xdr:colOff>
      <xdr:row>11</xdr:row>
      <xdr:rowOff>0</xdr:rowOff>
    </xdr:from>
    <xdr:ext cx="2857500" cy="1800225"/>
    <xdr:graphicFrame>
      <xdr:nvGraphicFramePr>
        <xdr:cNvPr id="4" name="Chart 4" title="SciCraftMooshroom Spe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0</xdr:colOff>
      <xdr:row>21</xdr:row>
      <xdr:rowOff>0</xdr:rowOff>
    </xdr:from>
    <xdr:ext cx="2857500" cy="1800225"/>
    <xdr:graphicFrame>
      <xdr:nvGraphicFramePr>
        <xdr:cNvPr id="5" name="Chart 5" title="Hermit1 Spe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0</xdr:colOff>
      <xdr:row>21</xdr:row>
      <xdr:rowOff>0</xdr:rowOff>
    </xdr:from>
    <xdr:ext cx="2857500" cy="1800225"/>
    <xdr:graphicFrame>
      <xdr:nvGraphicFramePr>
        <xdr:cNvPr id="6" name="Chart 6" title="Hermit2 Spe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0</xdr:colOff>
      <xdr:row>31</xdr:row>
      <xdr:rowOff>0</xdr:rowOff>
    </xdr:from>
    <xdr:ext cx="2857500" cy="1800225"/>
    <xdr:graphicFrame>
      <xdr:nvGraphicFramePr>
        <xdr:cNvPr id="7" name="Chart 7" title="EasyTest Spe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3" displayName="Table_1" name="Table_1" id="1">
  <tableColumns count="6">
    <tableColumn name="Slice Count" id="1"/>
    <tableColumn name="Test Name" id="2"/>
    <tableColumn name="Speed (items/h)" id="3"/>
    <tableColumn name="Hopper Multiplier (x)" id="4"/>
    <tableColumn name="Items Count" id="5"/>
    <tableColumn name="Time (min)" id="6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headerRowCount="0" ref="B4:D10" displayName="Table_2" name="Table_2" id="2">
  <tableColumns count="3">
    <tableColumn name="Column1" id="1"/>
    <tableColumn name="Column2" id="2"/>
    <tableColumn name="Column3" id="3"/>
  </tableColumns>
  <tableStyleInfo name="Dashboard-style" showColumnStripes="0" showFirstColumn="1" showLastColumn="1" showRowStripes="1"/>
</table>
</file>

<file path=xl/tables/table3.xml><?xml version="1.0" encoding="utf-8"?>
<table xmlns="http://schemas.openxmlformats.org/spreadsheetml/2006/main" headerRowCount="0" ref="K4:M10" displayName="Table_3" name="Table_3" id="3">
  <tableColumns count="3">
    <tableColumn name="Column1" id="1"/>
    <tableColumn name="Column2" id="2"/>
    <tableColumn name="Column3" id="3"/>
  </tableColumns>
  <tableStyleInfo name="Dashboard-style 2" showColumnStripes="0" showFirstColumn="1" showLastColumn="1" showRowStripes="1"/>
</table>
</file>

<file path=xl/tables/table4.xml><?xml version="1.0" encoding="utf-8"?>
<table xmlns="http://schemas.openxmlformats.org/spreadsheetml/2006/main" headerRowCount="0" ref="B14:D20" displayName="Table_4" name="Table_4" id="4">
  <tableColumns count="3">
    <tableColumn name="Column1" id="1"/>
    <tableColumn name="Column2" id="2"/>
    <tableColumn name="Column3" id="3"/>
  </tableColumns>
  <tableStyleInfo name="Dashboard-style 3" showColumnStripes="0" showFirstColumn="1" showLastColumn="1" showRowStripes="1"/>
</table>
</file>

<file path=xl/tables/table5.xml><?xml version="1.0" encoding="utf-8"?>
<table xmlns="http://schemas.openxmlformats.org/spreadsheetml/2006/main" headerRowCount="0" ref="K14:M20" displayName="Table_5" name="Table_5" id="5">
  <tableColumns count="3">
    <tableColumn name="Column1" id="1"/>
    <tableColumn name="Column2" id="2"/>
    <tableColumn name="Column3" id="3"/>
  </tableColumns>
  <tableStyleInfo name="Dashboard-style 4" showColumnStripes="0" showFirstColumn="1" showLastColumn="1" showRowStripes="1"/>
</table>
</file>

<file path=xl/tables/table6.xml><?xml version="1.0" encoding="utf-8"?>
<table xmlns="http://schemas.openxmlformats.org/spreadsheetml/2006/main" headerRowCount="0" ref="B24:D30" displayName="Table_6" name="Table_6" id="6">
  <tableColumns count="3">
    <tableColumn name="Column1" id="1"/>
    <tableColumn name="Column2" id="2"/>
    <tableColumn name="Column3" id="3"/>
  </tableColumns>
  <tableStyleInfo name="Dashboard-style 5" showColumnStripes="0" showFirstColumn="1" showLastColumn="1" showRowStripes="1"/>
</table>
</file>

<file path=xl/tables/table7.xml><?xml version="1.0" encoding="utf-8"?>
<table xmlns="http://schemas.openxmlformats.org/spreadsheetml/2006/main" headerRowCount="0" ref="K24:M30" displayName="Table_7" name="Table_7" id="7">
  <tableColumns count="3">
    <tableColumn name="Column1" id="1"/>
    <tableColumn name="Column2" id="2"/>
    <tableColumn name="Column3" id="3"/>
  </tableColumns>
  <tableStyleInfo name="Dashboard-style 6" showColumnStripes="0" showFirstColumn="1" showLastColumn="1" showRowStripes="1"/>
</table>
</file>

<file path=xl/tables/table8.xml><?xml version="1.0" encoding="utf-8"?>
<table xmlns="http://schemas.openxmlformats.org/spreadsheetml/2006/main" headerRowCount="0" ref="B34:D40" displayName="Table_8" name="Table_8" id="8">
  <tableColumns count="3">
    <tableColumn name="Column1" id="1"/>
    <tableColumn name="Column2" id="2"/>
    <tableColumn name="Column3" id="3"/>
  </tableColumns>
  <tableStyleInfo name="Dashboar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5.5"/>
    <col customWidth="1" min="3" max="3" width="13.88"/>
    <col customWidth="1" min="4" max="4" width="17.63"/>
    <col customWidth="1" min="5" max="5" width="10.75"/>
    <col customWidth="1" min="6" max="6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2.0</v>
      </c>
      <c r="B2" s="3" t="s">
        <v>6</v>
      </c>
      <c r="C2" s="4">
        <v>33129.0</v>
      </c>
      <c r="D2" s="5">
        <v>3.68</v>
      </c>
      <c r="E2" s="4">
        <v>43650.0</v>
      </c>
      <c r="F2" s="5">
        <v>79.06</v>
      </c>
      <c r="I2" s="6" t="s">
        <v>6</v>
      </c>
      <c r="J2" s="6" t="s">
        <v>7</v>
      </c>
    </row>
    <row r="3">
      <c r="A3" s="2">
        <v>2.0</v>
      </c>
      <c r="B3" s="3" t="s">
        <v>7</v>
      </c>
      <c r="C3" s="4">
        <v>33054.0</v>
      </c>
      <c r="D3" s="5">
        <v>3.67</v>
      </c>
      <c r="E3" s="4">
        <v>26991.0</v>
      </c>
      <c r="F3" s="5">
        <v>49.0</v>
      </c>
      <c r="H3" s="6">
        <v>2.0</v>
      </c>
    </row>
    <row r="4">
      <c r="A4" s="2">
        <v>2.0</v>
      </c>
      <c r="B4" s="3" t="s">
        <v>8</v>
      </c>
      <c r="C4" s="4">
        <v>50030.0</v>
      </c>
      <c r="D4" s="5">
        <v>5.56</v>
      </c>
      <c r="E4" s="4">
        <v>71322.0</v>
      </c>
      <c r="F4" s="5">
        <v>85.54</v>
      </c>
      <c r="H4" s="6">
        <v>3.0</v>
      </c>
    </row>
    <row r="5">
      <c r="A5" s="2">
        <v>2.0</v>
      </c>
      <c r="B5" s="3" t="s">
        <v>9</v>
      </c>
      <c r="C5" s="4">
        <v>35392.0</v>
      </c>
      <c r="D5" s="5">
        <v>3.93</v>
      </c>
      <c r="E5" s="4">
        <v>43623.0</v>
      </c>
      <c r="F5" s="5">
        <v>73.96</v>
      </c>
      <c r="H5" s="6">
        <v>4.0</v>
      </c>
    </row>
    <row r="6">
      <c r="A6" s="2">
        <v>2.0</v>
      </c>
      <c r="B6" s="3" t="s">
        <v>10</v>
      </c>
      <c r="C6" s="4">
        <v>16845.0</v>
      </c>
      <c r="D6" s="5">
        <v>1.87</v>
      </c>
      <c r="E6" s="4">
        <v>59118.0</v>
      </c>
      <c r="F6" s="5">
        <v>210.58</v>
      </c>
      <c r="H6" s="6">
        <v>5.0</v>
      </c>
    </row>
    <row r="7">
      <c r="A7" s="2">
        <v>2.0</v>
      </c>
      <c r="B7" s="3" t="s">
        <v>11</v>
      </c>
      <c r="C7" s="4">
        <v>11962.0</v>
      </c>
      <c r="D7" s="5">
        <v>1.33</v>
      </c>
      <c r="E7" s="4">
        <v>50261.0</v>
      </c>
      <c r="F7" s="5">
        <v>252.1</v>
      </c>
      <c r="H7" s="6">
        <v>6.0</v>
      </c>
    </row>
    <row r="8">
      <c r="A8" s="2">
        <v>2.0</v>
      </c>
      <c r="B8" s="3" t="s">
        <v>12</v>
      </c>
      <c r="C8" s="4">
        <v>42581.0</v>
      </c>
      <c r="D8" s="5">
        <v>4.73</v>
      </c>
      <c r="E8" s="4">
        <v>11692.0</v>
      </c>
      <c r="F8" s="5">
        <v>16.48</v>
      </c>
      <c r="H8" s="6">
        <v>7.0</v>
      </c>
    </row>
    <row r="9">
      <c r="A9" s="2">
        <v>3.0</v>
      </c>
      <c r="B9" s="3" t="s">
        <v>6</v>
      </c>
      <c r="C9" s="4">
        <v>40543.0</v>
      </c>
      <c r="D9" s="5">
        <v>4.5</v>
      </c>
      <c r="E9" s="4">
        <v>43650.0</v>
      </c>
      <c r="F9" s="5">
        <v>64.6</v>
      </c>
      <c r="H9" s="6">
        <v>8.0</v>
      </c>
    </row>
    <row r="10">
      <c r="A10" s="2">
        <v>3.0</v>
      </c>
      <c r="B10" s="3" t="s">
        <v>7</v>
      </c>
      <c r="C10" s="4">
        <v>41548.0</v>
      </c>
      <c r="D10" s="5">
        <v>4.62</v>
      </c>
      <c r="E10" s="4">
        <v>26991.0</v>
      </c>
      <c r="F10" s="5">
        <v>38.98</v>
      </c>
    </row>
    <row r="11">
      <c r="A11" s="2">
        <v>3.0</v>
      </c>
      <c r="B11" s="3" t="s">
        <v>8</v>
      </c>
      <c r="C11" s="4">
        <v>64333.0</v>
      </c>
      <c r="D11" s="5">
        <v>7.15</v>
      </c>
      <c r="E11" s="4">
        <v>71322.0</v>
      </c>
      <c r="F11" s="5">
        <v>66.52</v>
      </c>
    </row>
    <row r="12">
      <c r="A12" s="2">
        <v>3.0</v>
      </c>
      <c r="B12" s="3" t="s">
        <v>9</v>
      </c>
      <c r="C12" s="4">
        <v>43121.0</v>
      </c>
      <c r="D12" s="5">
        <v>4.79</v>
      </c>
      <c r="E12" s="4">
        <v>43623.0</v>
      </c>
      <c r="F12" s="5">
        <v>60.7</v>
      </c>
    </row>
    <row r="13">
      <c r="A13" s="2">
        <v>3.0</v>
      </c>
      <c r="B13" s="3" t="s">
        <v>10</v>
      </c>
      <c r="C13" s="4">
        <v>20922.0</v>
      </c>
      <c r="D13" s="5">
        <v>2.32</v>
      </c>
      <c r="E13" s="4">
        <v>59118.0</v>
      </c>
      <c r="F13" s="5">
        <v>169.54</v>
      </c>
    </row>
    <row r="14">
      <c r="A14" s="2">
        <v>3.0</v>
      </c>
      <c r="B14" s="3" t="s">
        <v>11</v>
      </c>
      <c r="C14" s="4">
        <v>14832.0</v>
      </c>
      <c r="D14" s="5">
        <v>1.65</v>
      </c>
      <c r="E14" s="4">
        <v>50261.0</v>
      </c>
      <c r="F14" s="5">
        <v>203.32</v>
      </c>
    </row>
    <row r="15">
      <c r="A15" s="2">
        <v>3.0</v>
      </c>
      <c r="B15" s="3" t="s">
        <v>12</v>
      </c>
      <c r="C15" s="4">
        <v>58566.0</v>
      </c>
      <c r="D15" s="5">
        <v>6.51</v>
      </c>
      <c r="E15" s="4">
        <v>11692.0</v>
      </c>
      <c r="F15" s="5">
        <v>11.98</v>
      </c>
    </row>
    <row r="16">
      <c r="A16" s="2">
        <v>4.0</v>
      </c>
      <c r="B16" s="3" t="s">
        <v>6</v>
      </c>
      <c r="C16" s="4">
        <v>46750.0</v>
      </c>
      <c r="D16" s="5">
        <v>5.19</v>
      </c>
      <c r="E16" s="4">
        <v>43650.0</v>
      </c>
      <c r="F16" s="5">
        <v>56.02</v>
      </c>
    </row>
    <row r="17">
      <c r="A17" s="2">
        <v>4.0</v>
      </c>
      <c r="B17" s="3" t="s">
        <v>7</v>
      </c>
      <c r="C17" s="4">
        <v>48139.0</v>
      </c>
      <c r="D17" s="5">
        <v>5.35</v>
      </c>
      <c r="E17" s="4">
        <v>26991.0</v>
      </c>
      <c r="F17" s="5">
        <v>33.64</v>
      </c>
    </row>
    <row r="18">
      <c r="A18" s="2">
        <v>4.0</v>
      </c>
      <c r="B18" s="3" t="s">
        <v>8</v>
      </c>
      <c r="C18" s="4">
        <v>80165.0</v>
      </c>
      <c r="D18" s="5">
        <v>8.91</v>
      </c>
      <c r="E18" s="4">
        <v>71322.0</v>
      </c>
      <c r="F18" s="5">
        <v>53.38</v>
      </c>
    </row>
    <row r="19">
      <c r="A19" s="2">
        <v>4.0</v>
      </c>
      <c r="B19" s="3" t="s">
        <v>9</v>
      </c>
      <c r="C19" s="4">
        <v>50742.0</v>
      </c>
      <c r="D19" s="5">
        <v>5.64</v>
      </c>
      <c r="E19" s="4">
        <v>43623.0</v>
      </c>
      <c r="F19" s="5">
        <v>51.58</v>
      </c>
    </row>
    <row r="20">
      <c r="A20" s="2">
        <v>4.0</v>
      </c>
      <c r="B20" s="3" t="s">
        <v>10</v>
      </c>
      <c r="C20" s="4">
        <v>24222.0</v>
      </c>
      <c r="D20" s="5">
        <v>2.69</v>
      </c>
      <c r="E20" s="4">
        <v>59118.0</v>
      </c>
      <c r="F20" s="5">
        <v>146.44</v>
      </c>
    </row>
    <row r="21">
      <c r="A21" s="2">
        <v>4.0</v>
      </c>
      <c r="B21" s="3" t="s">
        <v>11</v>
      </c>
      <c r="C21" s="4">
        <v>17121.0</v>
      </c>
      <c r="D21" s="5">
        <v>1.9</v>
      </c>
      <c r="E21" s="4">
        <v>50261.0</v>
      </c>
      <c r="F21" s="5">
        <v>176.14</v>
      </c>
    </row>
    <row r="22">
      <c r="A22" s="2">
        <v>4.0</v>
      </c>
      <c r="B22" s="3" t="s">
        <v>12</v>
      </c>
      <c r="C22" s="4">
        <v>59746.0</v>
      </c>
      <c r="D22" s="5">
        <v>6.64</v>
      </c>
      <c r="E22" s="4">
        <v>11692.0</v>
      </c>
      <c r="F22" s="5">
        <v>11.74</v>
      </c>
    </row>
    <row r="23">
      <c r="A23" s="2">
        <v>6.0</v>
      </c>
      <c r="B23" s="3" t="s">
        <v>6</v>
      </c>
      <c r="C23" s="4">
        <v>50830.0</v>
      </c>
      <c r="D23" s="5">
        <v>5.65</v>
      </c>
      <c r="E23" s="4">
        <v>43650.0</v>
      </c>
      <c r="F23" s="5">
        <v>51.53</v>
      </c>
    </row>
    <row r="24">
      <c r="A24" s="2">
        <v>6.0</v>
      </c>
      <c r="B24" s="3" t="s">
        <v>7</v>
      </c>
      <c r="C24" s="4">
        <v>53794.0</v>
      </c>
      <c r="D24" s="5">
        <v>5.98</v>
      </c>
      <c r="E24" s="4">
        <v>26991.0</v>
      </c>
      <c r="F24" s="5">
        <v>30.11</v>
      </c>
    </row>
    <row r="25">
      <c r="A25" s="2">
        <v>6.0</v>
      </c>
      <c r="B25" s="3" t="s">
        <v>8</v>
      </c>
      <c r="C25" s="4">
        <v>98138.0</v>
      </c>
      <c r="D25" s="5">
        <v>10.9</v>
      </c>
      <c r="E25" s="4">
        <v>71322.0</v>
      </c>
      <c r="F25" s="5">
        <v>43.61</v>
      </c>
    </row>
    <row r="26">
      <c r="A26" s="2">
        <v>6.0</v>
      </c>
      <c r="B26" s="3" t="s">
        <v>9</v>
      </c>
      <c r="C26" s="4">
        <v>59210.0</v>
      </c>
      <c r="D26" s="5">
        <v>6.58</v>
      </c>
      <c r="E26" s="4">
        <v>43623.0</v>
      </c>
      <c r="F26" s="5">
        <v>44.21</v>
      </c>
    </row>
    <row r="27">
      <c r="A27" s="2">
        <v>6.0</v>
      </c>
      <c r="B27" s="3" t="s">
        <v>10</v>
      </c>
      <c r="C27" s="4">
        <v>27052.0</v>
      </c>
      <c r="D27" s="5">
        <v>3.01</v>
      </c>
      <c r="E27" s="4">
        <v>59118.0</v>
      </c>
      <c r="F27" s="5">
        <v>131.12</v>
      </c>
    </row>
    <row r="28">
      <c r="A28" s="2">
        <v>6.0</v>
      </c>
      <c r="B28" s="3" t="s">
        <v>11</v>
      </c>
      <c r="C28" s="4">
        <v>18932.0</v>
      </c>
      <c r="D28" s="5">
        <v>2.1</v>
      </c>
      <c r="E28" s="4">
        <v>50261.0</v>
      </c>
      <c r="F28" s="5">
        <v>159.29</v>
      </c>
    </row>
    <row r="29">
      <c r="A29" s="2">
        <v>6.0</v>
      </c>
      <c r="B29" s="3" t="s">
        <v>12</v>
      </c>
      <c r="C29" s="4">
        <v>61295.0</v>
      </c>
      <c r="D29" s="5">
        <v>6.81</v>
      </c>
      <c r="E29" s="4">
        <v>11692.0</v>
      </c>
      <c r="F29" s="5">
        <v>11.45</v>
      </c>
    </row>
    <row r="30">
      <c r="A30" s="2">
        <v>7.0</v>
      </c>
      <c r="B30" s="3" t="s">
        <v>6</v>
      </c>
      <c r="C30" s="4">
        <v>59642.0</v>
      </c>
      <c r="D30" s="5">
        <v>6.63</v>
      </c>
      <c r="E30" s="4">
        <v>43650.0</v>
      </c>
      <c r="F30" s="5">
        <v>43.91</v>
      </c>
    </row>
    <row r="31">
      <c r="A31" s="2">
        <v>7.0</v>
      </c>
      <c r="B31" s="3" t="s">
        <v>7</v>
      </c>
      <c r="C31" s="4">
        <v>63084.0</v>
      </c>
      <c r="D31" s="5">
        <v>7.01</v>
      </c>
      <c r="E31" s="4">
        <v>26991.0</v>
      </c>
      <c r="F31" s="5">
        <v>25.67</v>
      </c>
    </row>
    <row r="32">
      <c r="A32" s="2">
        <v>7.0</v>
      </c>
      <c r="B32" s="3" t="s">
        <v>8</v>
      </c>
      <c r="C32" s="4">
        <v>103687.0</v>
      </c>
      <c r="D32" s="5">
        <v>11.52</v>
      </c>
      <c r="E32" s="4">
        <v>71322.0</v>
      </c>
      <c r="F32" s="5">
        <v>41.27</v>
      </c>
    </row>
    <row r="33">
      <c r="A33" s="2">
        <v>7.0</v>
      </c>
      <c r="B33" s="3" t="s">
        <v>9</v>
      </c>
      <c r="C33" s="4">
        <v>64736.0</v>
      </c>
      <c r="D33" s="5">
        <v>7.19</v>
      </c>
      <c r="E33" s="4">
        <v>43623.0</v>
      </c>
      <c r="F33" s="5">
        <v>40.43</v>
      </c>
    </row>
    <row r="34">
      <c r="A34" s="2">
        <v>7.0</v>
      </c>
      <c r="B34" s="3" t="s">
        <v>10</v>
      </c>
      <c r="C34" s="4">
        <v>29754.0</v>
      </c>
      <c r="D34" s="5">
        <v>3.31</v>
      </c>
      <c r="E34" s="4">
        <v>59118.0</v>
      </c>
      <c r="F34" s="5">
        <v>119.21</v>
      </c>
    </row>
    <row r="35">
      <c r="A35" s="2">
        <v>7.0</v>
      </c>
      <c r="B35" s="3" t="s">
        <v>11</v>
      </c>
      <c r="C35" s="4">
        <v>21731.0</v>
      </c>
      <c r="D35" s="5">
        <v>2.41</v>
      </c>
      <c r="E35" s="4">
        <v>50261.0</v>
      </c>
      <c r="F35" s="5">
        <v>138.77</v>
      </c>
    </row>
    <row r="36">
      <c r="A36" s="2">
        <v>7.0</v>
      </c>
      <c r="B36" s="3" t="s">
        <v>12</v>
      </c>
      <c r="C36" s="4">
        <v>65006.0</v>
      </c>
      <c r="D36" s="5">
        <v>7.22</v>
      </c>
      <c r="E36" s="4">
        <v>11692.0</v>
      </c>
      <c r="F36" s="5">
        <v>10.79</v>
      </c>
    </row>
    <row r="37">
      <c r="A37" s="2">
        <v>8.0</v>
      </c>
      <c r="B37" s="3" t="s">
        <v>6</v>
      </c>
      <c r="C37" s="4">
        <v>64011.0</v>
      </c>
      <c r="D37" s="5">
        <v>7.11</v>
      </c>
      <c r="E37" s="4">
        <v>43650.0</v>
      </c>
      <c r="F37" s="5">
        <v>40.92</v>
      </c>
    </row>
    <row r="38">
      <c r="A38" s="2">
        <v>8.0</v>
      </c>
      <c r="B38" s="3" t="s">
        <v>7</v>
      </c>
      <c r="C38" s="4">
        <v>63671.0</v>
      </c>
      <c r="D38" s="5">
        <v>7.07</v>
      </c>
      <c r="E38" s="4">
        <v>26991.0</v>
      </c>
      <c r="F38" s="5">
        <v>25.44</v>
      </c>
    </row>
    <row r="39">
      <c r="A39" s="2">
        <v>8.0</v>
      </c>
      <c r="B39" s="3" t="s">
        <v>8</v>
      </c>
      <c r="C39" s="4">
        <v>113366.0</v>
      </c>
      <c r="D39" s="5">
        <v>12.6</v>
      </c>
      <c r="E39" s="4">
        <v>71322.0</v>
      </c>
      <c r="F39" s="5">
        <v>37.83</v>
      </c>
    </row>
    <row r="40">
      <c r="A40" s="2">
        <v>8.0</v>
      </c>
      <c r="B40" s="3" t="s">
        <v>9</v>
      </c>
      <c r="C40" s="4">
        <v>67641.0</v>
      </c>
      <c r="D40" s="5">
        <v>7.52</v>
      </c>
      <c r="E40" s="4">
        <v>43623.0</v>
      </c>
      <c r="F40" s="5">
        <v>38.7</v>
      </c>
    </row>
    <row r="41">
      <c r="A41" s="2">
        <v>8.0</v>
      </c>
      <c r="B41" s="3" t="s">
        <v>10</v>
      </c>
      <c r="C41" s="4">
        <v>31165.0</v>
      </c>
      <c r="D41" s="5">
        <v>3.46</v>
      </c>
      <c r="E41" s="4">
        <v>59118.0</v>
      </c>
      <c r="F41" s="5">
        <v>113.82</v>
      </c>
    </row>
    <row r="42">
      <c r="A42" s="2">
        <v>8.0</v>
      </c>
      <c r="B42" s="3" t="s">
        <v>11</v>
      </c>
      <c r="C42" s="4">
        <v>23025.0</v>
      </c>
      <c r="D42" s="5">
        <v>2.56</v>
      </c>
      <c r="E42" s="4">
        <v>50261.0</v>
      </c>
      <c r="F42" s="5">
        <v>130.98</v>
      </c>
    </row>
    <row r="43">
      <c r="A43" s="2">
        <v>8.0</v>
      </c>
      <c r="B43" s="3" t="s">
        <v>12</v>
      </c>
      <c r="C43" s="4">
        <v>66463.0</v>
      </c>
      <c r="D43" s="5">
        <v>7.38</v>
      </c>
      <c r="E43" s="4">
        <v>11692.0</v>
      </c>
      <c r="F43" s="5">
        <v>10.56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7.63"/>
    <col customWidth="1" min="3" max="3" width="12.63"/>
    <col customWidth="1" min="4" max="4" width="10.13"/>
    <col customWidth="1" min="5" max="9" width="7.63"/>
    <col customWidth="1" min="10" max="10" width="2.63"/>
    <col customWidth="1" min="11" max="11" width="7.63"/>
    <col customWidth="1" min="12" max="12" width="12.63"/>
    <col customWidth="1" min="13" max="13" width="10.13"/>
    <col customWidth="1" min="14" max="18" width="7.63"/>
  </cols>
  <sheetData>
    <row r="1">
      <c r="A1" s="7"/>
      <c r="B1" s="8"/>
      <c r="C1" s="8"/>
      <c r="D1" s="8"/>
      <c r="E1" s="7"/>
      <c r="F1" s="7"/>
      <c r="G1" s="7"/>
      <c r="H1" s="7"/>
      <c r="I1" s="7"/>
      <c r="J1" s="7"/>
      <c r="K1" s="8"/>
      <c r="L1" s="8"/>
      <c r="M1" s="8"/>
      <c r="N1" s="7"/>
      <c r="O1" s="7"/>
    </row>
    <row r="2">
      <c r="A2" s="9"/>
      <c r="B2" s="10" t="s">
        <v>6</v>
      </c>
      <c r="C2" s="11"/>
      <c r="D2" s="12"/>
      <c r="E2" s="13"/>
      <c r="F2" s="9"/>
      <c r="G2" s="13"/>
      <c r="H2" s="9"/>
      <c r="I2" s="13"/>
      <c r="J2" s="9"/>
      <c r="K2" s="10" t="s">
        <v>7</v>
      </c>
      <c r="L2" s="11"/>
      <c r="M2" s="12"/>
      <c r="N2" s="9"/>
      <c r="O2" s="13"/>
    </row>
    <row r="3">
      <c r="A3" s="9"/>
      <c r="B3" s="14" t="s">
        <v>13</v>
      </c>
      <c r="C3" s="14" t="s">
        <v>2</v>
      </c>
      <c r="D3" s="14" t="s">
        <v>14</v>
      </c>
      <c r="E3" s="13"/>
      <c r="F3" s="9"/>
      <c r="G3" s="13"/>
      <c r="H3" s="9"/>
      <c r="I3" s="13"/>
      <c r="J3" s="9"/>
      <c r="K3" s="14" t="s">
        <v>13</v>
      </c>
      <c r="L3" s="14" t="s">
        <v>2</v>
      </c>
      <c r="M3" s="14" t="s">
        <v>14</v>
      </c>
      <c r="N3" s="9"/>
      <c r="O3" s="13"/>
    </row>
    <row r="4">
      <c r="A4" s="9"/>
      <c r="B4" s="15">
        <v>2.0</v>
      </c>
      <c r="C4" s="16">
        <v>33129.0</v>
      </c>
      <c r="D4" s="17">
        <f t="shared" ref="D4:D10" si="1">IF(ISBLANK(C4), "", (C4/$C$4)-1)</f>
        <v>0</v>
      </c>
      <c r="E4" s="13"/>
      <c r="F4" s="9"/>
      <c r="G4" s="13"/>
      <c r="H4" s="9"/>
      <c r="I4" s="13"/>
      <c r="J4" s="9"/>
      <c r="K4" s="15">
        <v>2.0</v>
      </c>
      <c r="L4" s="16">
        <v>33054.0</v>
      </c>
      <c r="M4" s="18">
        <f t="shared" ref="M4:M10" si="2">IF(ISBLANK(L4), "", (L4/$L$4)-1)</f>
        <v>0</v>
      </c>
      <c r="N4" s="9"/>
      <c r="O4" s="13"/>
    </row>
    <row r="5">
      <c r="A5" s="9"/>
      <c r="B5" s="15">
        <v>3.0</v>
      </c>
      <c r="C5" s="16">
        <v>40543.0</v>
      </c>
      <c r="D5" s="18">
        <f t="shared" si="1"/>
        <v>0.223791844</v>
      </c>
      <c r="E5" s="13"/>
      <c r="F5" s="19"/>
      <c r="G5" s="13"/>
      <c r="H5" s="19"/>
      <c r="I5" s="13"/>
      <c r="J5" s="19"/>
      <c r="K5" s="15">
        <v>3.0</v>
      </c>
      <c r="L5" s="16">
        <v>41548.0</v>
      </c>
      <c r="M5" s="18">
        <f t="shared" si="2"/>
        <v>0.2569734374</v>
      </c>
      <c r="N5" s="19"/>
      <c r="O5" s="13"/>
    </row>
    <row r="6">
      <c r="A6" s="9"/>
      <c r="B6" s="15">
        <v>4.0</v>
      </c>
      <c r="C6" s="16">
        <v>46750.0</v>
      </c>
      <c r="D6" s="17">
        <f t="shared" si="1"/>
        <v>0.4111503517</v>
      </c>
      <c r="E6" s="13"/>
      <c r="F6" s="9"/>
      <c r="G6" s="13"/>
      <c r="H6" s="9"/>
      <c r="I6" s="13"/>
      <c r="J6" s="9"/>
      <c r="K6" s="15">
        <v>4.0</v>
      </c>
      <c r="L6" s="16">
        <v>48139.0</v>
      </c>
      <c r="M6" s="18">
        <f t="shared" si="2"/>
        <v>0.4563744176</v>
      </c>
      <c r="N6" s="9"/>
      <c r="O6" s="13"/>
    </row>
    <row r="7">
      <c r="A7" s="9"/>
      <c r="B7" s="15"/>
      <c r="C7" s="20"/>
      <c r="D7" s="17" t="str">
        <f t="shared" si="1"/>
        <v/>
      </c>
      <c r="E7" s="13"/>
      <c r="F7" s="9"/>
      <c r="G7" s="13"/>
      <c r="H7" s="9"/>
      <c r="I7" s="13"/>
      <c r="J7" s="9"/>
      <c r="K7" s="21"/>
      <c r="L7" s="16"/>
      <c r="M7" s="18" t="str">
        <f t="shared" si="2"/>
        <v/>
      </c>
      <c r="N7" s="9"/>
      <c r="O7" s="13"/>
    </row>
    <row r="8">
      <c r="A8" s="9"/>
      <c r="B8" s="15">
        <v>6.0</v>
      </c>
      <c r="C8" s="16">
        <v>50830.0</v>
      </c>
      <c r="D8" s="17">
        <f t="shared" si="1"/>
        <v>0.5343052914</v>
      </c>
      <c r="E8" s="13"/>
      <c r="F8" s="9"/>
      <c r="G8" s="13"/>
      <c r="H8" s="9"/>
      <c r="I8" s="13"/>
      <c r="J8" s="9"/>
      <c r="K8" s="15">
        <v>6.0</v>
      </c>
      <c r="L8" s="16">
        <v>53794.0</v>
      </c>
      <c r="M8" s="18">
        <f t="shared" si="2"/>
        <v>0.6274580989</v>
      </c>
      <c r="N8" s="9"/>
      <c r="O8" s="13"/>
    </row>
    <row r="9">
      <c r="B9" s="15">
        <v>7.0</v>
      </c>
      <c r="C9" s="16">
        <v>59642.0</v>
      </c>
      <c r="D9" s="18">
        <f t="shared" si="1"/>
        <v>0.8002958133</v>
      </c>
      <c r="K9" s="15">
        <v>7.0</v>
      </c>
      <c r="L9" s="16">
        <v>63084.0</v>
      </c>
      <c r="M9" s="18">
        <f t="shared" si="2"/>
        <v>0.9085133418</v>
      </c>
    </row>
    <row r="10">
      <c r="B10" s="15">
        <v>8.0</v>
      </c>
      <c r="C10" s="16">
        <v>64011.0</v>
      </c>
      <c r="D10" s="18">
        <f t="shared" si="1"/>
        <v>0.932174228</v>
      </c>
      <c r="K10" s="15">
        <v>8.0</v>
      </c>
      <c r="L10" s="16">
        <v>63671.0</v>
      </c>
      <c r="M10" s="18">
        <f t="shared" si="2"/>
        <v>0.9262721607</v>
      </c>
    </row>
    <row r="11">
      <c r="B11" s="22"/>
      <c r="C11" s="23"/>
      <c r="D11" s="24"/>
      <c r="K11" s="22"/>
      <c r="L11" s="23"/>
      <c r="M11" s="24"/>
    </row>
    <row r="12">
      <c r="B12" s="25" t="s">
        <v>8</v>
      </c>
      <c r="C12" s="11"/>
      <c r="D12" s="12"/>
      <c r="K12" s="25" t="s">
        <v>9</v>
      </c>
      <c r="L12" s="11"/>
      <c r="M12" s="12"/>
    </row>
    <row r="13">
      <c r="B13" s="26" t="s">
        <v>13</v>
      </c>
      <c r="C13" s="27" t="s">
        <v>2</v>
      </c>
      <c r="D13" s="28" t="s">
        <v>14</v>
      </c>
      <c r="K13" s="26" t="s">
        <v>13</v>
      </c>
      <c r="L13" s="27" t="s">
        <v>2</v>
      </c>
      <c r="M13" s="28" t="s">
        <v>14</v>
      </c>
    </row>
    <row r="14">
      <c r="B14" s="15">
        <v>2.0</v>
      </c>
      <c r="C14" s="16">
        <v>50030.0</v>
      </c>
      <c r="D14" s="18">
        <f t="shared" ref="D14:D20" si="3">IF(ISBLANK(C14), "", (C14/$C$14)-1)</f>
        <v>0</v>
      </c>
      <c r="K14" s="15">
        <v>2.0</v>
      </c>
      <c r="L14" s="16">
        <v>35392.0</v>
      </c>
      <c r="M14" s="18">
        <f t="shared" ref="M14:M20" si="4">IF(ISBLANK(L14), "", (L14/$L$14)-1)</f>
        <v>0</v>
      </c>
    </row>
    <row r="15">
      <c r="B15" s="15">
        <v>3.0</v>
      </c>
      <c r="C15" s="16">
        <v>64333.0</v>
      </c>
      <c r="D15" s="18">
        <f t="shared" si="3"/>
        <v>0.2858884669</v>
      </c>
      <c r="K15" s="15">
        <v>3.0</v>
      </c>
      <c r="L15" s="16">
        <v>43121.0</v>
      </c>
      <c r="M15" s="18">
        <f t="shared" si="4"/>
        <v>0.2183826854</v>
      </c>
    </row>
    <row r="16">
      <c r="B16" s="15">
        <v>4.0</v>
      </c>
      <c r="C16" s="16">
        <v>80165.0</v>
      </c>
      <c r="D16" s="18">
        <f t="shared" si="3"/>
        <v>0.6023385968</v>
      </c>
      <c r="K16" s="15">
        <v>4.0</v>
      </c>
      <c r="L16" s="16">
        <v>50742.0</v>
      </c>
      <c r="M16" s="18">
        <f t="shared" si="4"/>
        <v>0.4337138336</v>
      </c>
    </row>
    <row r="17">
      <c r="B17" s="21"/>
      <c r="C17" s="20"/>
      <c r="D17" s="18" t="str">
        <f t="shared" si="3"/>
        <v/>
      </c>
      <c r="K17" s="21"/>
      <c r="L17" s="20"/>
      <c r="M17" s="18" t="str">
        <f t="shared" si="4"/>
        <v/>
      </c>
    </row>
    <row r="18">
      <c r="B18" s="15">
        <v>6.0</v>
      </c>
      <c r="C18" s="16">
        <v>98138.0</v>
      </c>
      <c r="D18" s="18">
        <f t="shared" si="3"/>
        <v>0.9615830502</v>
      </c>
      <c r="K18" s="15">
        <v>6.0</v>
      </c>
      <c r="L18" s="16">
        <v>59210.0</v>
      </c>
      <c r="M18" s="18">
        <f t="shared" si="4"/>
        <v>0.6729769439</v>
      </c>
    </row>
    <row r="19">
      <c r="B19" s="15">
        <v>7.0</v>
      </c>
      <c r="C19" s="16">
        <v>103687.0</v>
      </c>
      <c r="D19" s="18">
        <f t="shared" si="3"/>
        <v>1.072496502</v>
      </c>
      <c r="K19" s="15">
        <v>7.0</v>
      </c>
      <c r="L19" s="16">
        <v>64736.0</v>
      </c>
      <c r="M19" s="18">
        <f t="shared" si="4"/>
        <v>0.8291139241</v>
      </c>
    </row>
    <row r="20">
      <c r="B20" s="15">
        <v>8.0</v>
      </c>
      <c r="C20" s="16">
        <v>113366.0</v>
      </c>
      <c r="D20" s="18">
        <f t="shared" si="3"/>
        <v>1.265960424</v>
      </c>
      <c r="K20" s="15">
        <v>8.0</v>
      </c>
      <c r="L20" s="16">
        <v>67641.0</v>
      </c>
      <c r="M20" s="18">
        <f t="shared" si="4"/>
        <v>0.9111946203</v>
      </c>
    </row>
    <row r="21">
      <c r="B21" s="22"/>
      <c r="C21" s="23"/>
      <c r="D21" s="24"/>
      <c r="K21" s="22"/>
      <c r="L21" s="23"/>
      <c r="M21" s="24"/>
    </row>
    <row r="22">
      <c r="B22" s="25" t="s">
        <v>10</v>
      </c>
      <c r="C22" s="11"/>
      <c r="D22" s="12"/>
      <c r="K22" s="25" t="s">
        <v>11</v>
      </c>
      <c r="L22" s="11"/>
      <c r="M22" s="12"/>
    </row>
    <row r="23">
      <c r="B23" s="26" t="s">
        <v>13</v>
      </c>
      <c r="C23" s="27" t="s">
        <v>2</v>
      </c>
      <c r="D23" s="28" t="s">
        <v>14</v>
      </c>
      <c r="K23" s="26" t="s">
        <v>13</v>
      </c>
      <c r="L23" s="27" t="s">
        <v>2</v>
      </c>
      <c r="M23" s="28" t="s">
        <v>14</v>
      </c>
    </row>
    <row r="24">
      <c r="B24" s="15">
        <v>2.0</v>
      </c>
      <c r="C24" s="16">
        <v>16845.0</v>
      </c>
      <c r="D24" s="18">
        <f t="shared" ref="D24:D30" si="5">IF(ISBLANK(C24), "", (C24/$C$24)-1)</f>
        <v>0</v>
      </c>
      <c r="K24" s="15">
        <v>2.0</v>
      </c>
      <c r="L24" s="16">
        <v>11962.0</v>
      </c>
      <c r="M24" s="18">
        <f t="shared" ref="M24:M30" si="6">IF(ISBLANK(L24), "", (L24/$L$24)-1)</f>
        <v>0</v>
      </c>
    </row>
    <row r="25">
      <c r="B25" s="15">
        <v>3.0</v>
      </c>
      <c r="C25" s="16">
        <v>20922.0</v>
      </c>
      <c r="D25" s="18">
        <f t="shared" si="5"/>
        <v>0.242030276</v>
      </c>
      <c r="K25" s="15">
        <v>3.0</v>
      </c>
      <c r="L25" s="16">
        <v>14832.0</v>
      </c>
      <c r="M25" s="18">
        <f t="shared" si="6"/>
        <v>0.2399264337</v>
      </c>
    </row>
    <row r="26">
      <c r="B26" s="15">
        <v>4.0</v>
      </c>
      <c r="C26" s="16">
        <v>24222.0</v>
      </c>
      <c r="D26" s="18">
        <f t="shared" si="5"/>
        <v>0.4379341051</v>
      </c>
      <c r="K26" s="15">
        <v>4.0</v>
      </c>
      <c r="L26" s="16">
        <v>17121.0</v>
      </c>
      <c r="M26" s="18">
        <f t="shared" si="6"/>
        <v>0.4312823942</v>
      </c>
    </row>
    <row r="27">
      <c r="B27" s="21"/>
      <c r="C27" s="20"/>
      <c r="D27" s="18" t="str">
        <f t="shared" si="5"/>
        <v/>
      </c>
      <c r="K27" s="21"/>
      <c r="L27" s="20"/>
      <c r="M27" s="18" t="str">
        <f t="shared" si="6"/>
        <v/>
      </c>
    </row>
    <row r="28">
      <c r="B28" s="15">
        <v>6.0</v>
      </c>
      <c r="C28" s="16">
        <v>27052.0</v>
      </c>
      <c r="D28" s="18">
        <f t="shared" si="5"/>
        <v>0.6059364797</v>
      </c>
      <c r="K28" s="15">
        <v>6.0</v>
      </c>
      <c r="L28" s="16">
        <v>18932.0</v>
      </c>
      <c r="M28" s="18">
        <f t="shared" si="6"/>
        <v>0.5826784819</v>
      </c>
    </row>
    <row r="29">
      <c r="B29" s="15">
        <v>7.0</v>
      </c>
      <c r="C29" s="16">
        <v>29754.0</v>
      </c>
      <c r="D29" s="18">
        <f t="shared" si="5"/>
        <v>0.7663401603</v>
      </c>
      <c r="K29" s="15">
        <v>7.0</v>
      </c>
      <c r="L29" s="16">
        <v>21731.0</v>
      </c>
      <c r="M29" s="18">
        <f t="shared" si="6"/>
        <v>0.8166694533</v>
      </c>
    </row>
    <row r="30">
      <c r="B30" s="15">
        <v>8.0</v>
      </c>
      <c r="C30" s="16">
        <v>31165.0</v>
      </c>
      <c r="D30" s="18">
        <f t="shared" si="5"/>
        <v>0.8501038884</v>
      </c>
      <c r="K30" s="15">
        <v>8.0</v>
      </c>
      <c r="L30" s="16">
        <v>23025.0</v>
      </c>
      <c r="M30" s="18">
        <f t="shared" si="6"/>
        <v>0.9248453436</v>
      </c>
    </row>
    <row r="31">
      <c r="B31" s="22"/>
      <c r="C31" s="23"/>
      <c r="D31" s="24"/>
      <c r="K31" s="22"/>
      <c r="L31" s="23"/>
      <c r="M31" s="24"/>
    </row>
    <row r="32">
      <c r="B32" s="25" t="s">
        <v>12</v>
      </c>
      <c r="C32" s="11"/>
      <c r="D32" s="12"/>
      <c r="K32" s="22"/>
      <c r="L32" s="23"/>
      <c r="M32" s="24"/>
    </row>
    <row r="33">
      <c r="B33" s="26" t="s">
        <v>13</v>
      </c>
      <c r="C33" s="27" t="s">
        <v>2</v>
      </c>
      <c r="D33" s="28" t="s">
        <v>14</v>
      </c>
      <c r="K33" s="22"/>
      <c r="L33" s="23"/>
      <c r="M33" s="24"/>
    </row>
    <row r="34">
      <c r="B34" s="15">
        <v>2.0</v>
      </c>
      <c r="C34" s="16">
        <v>42581.0</v>
      </c>
      <c r="D34" s="18">
        <f t="shared" ref="D34:D40" si="7">IF(ISBLANK(C34), "", (C34/$C$34)-1)</f>
        <v>0</v>
      </c>
      <c r="K34" s="22"/>
      <c r="L34" s="23"/>
      <c r="M34" s="24"/>
    </row>
    <row r="35">
      <c r="B35" s="15">
        <v>3.0</v>
      </c>
      <c r="C35" s="16">
        <v>58566.0</v>
      </c>
      <c r="D35" s="18">
        <f t="shared" si="7"/>
        <v>0.3754021747</v>
      </c>
      <c r="K35" s="22"/>
      <c r="L35" s="23"/>
      <c r="M35" s="24"/>
    </row>
    <row r="36">
      <c r="B36" s="15">
        <v>4.0</v>
      </c>
      <c r="C36" s="16">
        <v>59746.0</v>
      </c>
      <c r="D36" s="18">
        <f t="shared" si="7"/>
        <v>0.403114065</v>
      </c>
      <c r="K36" s="22"/>
      <c r="L36" s="23"/>
      <c r="M36" s="24"/>
    </row>
    <row r="37">
      <c r="B37" s="21"/>
      <c r="C37" s="20"/>
      <c r="D37" s="18" t="str">
        <f t="shared" si="7"/>
        <v/>
      </c>
      <c r="K37" s="22"/>
      <c r="L37" s="23"/>
      <c r="M37" s="24"/>
    </row>
    <row r="38">
      <c r="B38" s="15">
        <v>6.0</v>
      </c>
      <c r="C38" s="16">
        <v>61295.0</v>
      </c>
      <c r="D38" s="18">
        <f t="shared" si="7"/>
        <v>0.4394917921</v>
      </c>
      <c r="K38" s="22"/>
      <c r="L38" s="23"/>
      <c r="M38" s="24"/>
    </row>
    <row r="39">
      <c r="B39" s="15">
        <v>7.0</v>
      </c>
      <c r="C39" s="16">
        <v>65006.0</v>
      </c>
      <c r="D39" s="18">
        <f t="shared" si="7"/>
        <v>0.5266433386</v>
      </c>
      <c r="K39" s="22"/>
      <c r="L39" s="23"/>
      <c r="M39" s="24"/>
    </row>
    <row r="40">
      <c r="B40" s="15">
        <v>8.0</v>
      </c>
      <c r="C40" s="16">
        <v>66463.0</v>
      </c>
      <c r="D40" s="18">
        <f t="shared" si="7"/>
        <v>0.5608604777</v>
      </c>
      <c r="K40" s="22"/>
      <c r="L40" s="23"/>
      <c r="M40" s="24"/>
    </row>
  </sheetData>
  <mergeCells count="7">
    <mergeCell ref="B2:D2"/>
    <mergeCell ref="K2:M2"/>
    <mergeCell ref="B12:D12"/>
    <mergeCell ref="K12:M12"/>
    <mergeCell ref="B22:D22"/>
    <mergeCell ref="K22:M22"/>
    <mergeCell ref="B32:D32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